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okups" sheetId="2" state="visible" r:id="rId4"/>
    <sheet name="Transactions" sheetId="3" state="visible" r:id="rId5"/>
    <sheet name="Drill 1 - SUMIFS" sheetId="4" state="visible" r:id="rId6"/>
    <sheet name="Drill 1 - Lookups+Refs" sheetId="5" state="visible" r:id="rId7"/>
    <sheet name="Raw GL Export" sheetId="6" state="visible" r:id="rId8"/>
    <sheet name="Drill 2 - Cleaning" sheetId="7" state="visible" r:id="rId9"/>
    <sheet name="Budget" sheetId="8" state="visible" r:id="rId10"/>
    <sheet name="Drill 3 - Pivot" sheetId="9" state="visible" r:id="rId11"/>
    <sheet name="Progress 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Drill 1B: fill this column with XLOOKUP from the Lookups tab.</t>
        </r>
      </text>
    </comment>
  </commentList>
</comments>
</file>

<file path=xl/sharedStrings.xml><?xml version="1.0" encoding="utf-8"?>
<sst xmlns="http://schemas.openxmlformats.org/spreadsheetml/2006/main" count="8182" uniqueCount="3070">
  <si>
    <t xml:space="preserve">FP&amp;A Practice Workbook - Weeks 1 to 6</t>
  </si>
  <si>
    <t xml:space="preserve">Stage 0 (Excel fluency) and Stage 1 (data hygiene) of your 6-month plan. All data is fictional.</t>
  </si>
  <si>
    <t xml:space="preserve">How to use this workbook</t>
  </si>
  <si>
    <t xml:space="preserve">1</t>
  </si>
  <si>
    <t xml:space="preserve">Work the tabs in order. Each drill tab says which week it belongs to and what to build.</t>
  </si>
  <si>
    <t xml:space="preserve">2</t>
  </si>
  <si>
    <t xml:space="preserve">Only type in YELLOW cells (or in the new tabs you are told to create). Everything else is data or checks.</t>
  </si>
  <si>
    <t xml:space="preserve">3</t>
  </si>
  <si>
    <t xml:space="preserve">Every drill has a CHECK block. It shows PASS when your answer matches the control total, 'Not yet' when it does not, '-' when blank.</t>
  </si>
  <si>
    <t xml:space="preserve">4</t>
  </si>
  <si>
    <t xml:space="preserve">Control totals are like the trial balance you reconcile to at work: they tell you IF you are right, not HOW. Don't reverse-engineer them.</t>
  </si>
  <si>
    <t xml:space="preserve">5</t>
  </si>
  <si>
    <t xml:space="preserve">Build it yourself first. Afterwards you can ask Claude to run data-cleaning-for-excel or pivot-table-builder on the same data and compare.</t>
  </si>
  <si>
    <t xml:space="preserve">6</t>
  </si>
  <si>
    <t xml:space="preserve">Bring the file back at the end of week 3 and week 6 for grading against the pass criteria.</t>
  </si>
  <si>
    <t xml:space="preserve">Colour legend</t>
  </si>
  <si>
    <t xml:space="preserve">Yellow fill</t>
  </si>
  <si>
    <t xml:space="preserve">You type or build here</t>
  </si>
  <si>
    <t xml:space="preserve">Blue text</t>
  </si>
  <si>
    <t xml:space="preserve">Hardcoded input (a number someone typed)</t>
  </si>
  <si>
    <t xml:space="preserve">Black text</t>
  </si>
  <si>
    <t xml:space="preserve">Formula on the same sheet</t>
  </si>
  <si>
    <t xml:space="preserve">Green text</t>
  </si>
  <si>
    <t xml:space="preserve">Formula that links to another sheet</t>
  </si>
  <si>
    <t xml:space="preserve">Grey fill</t>
  </si>
  <si>
    <t xml:space="preserve">Control total (given, do not edit)</t>
  </si>
  <si>
    <t xml:space="preserve">Tab map</t>
  </si>
  <si>
    <t xml:space="preserve">Lookups</t>
  </si>
  <si>
    <t xml:space="preserve">Product master list. Used by Drills 1B and 1D.</t>
  </si>
  <si>
    <t xml:space="preserve">Transactions</t>
  </si>
  <si>
    <t xml:space="preserve">1,168 clean sales lines for 2025. Source for Drills 1A and 1B.</t>
  </si>
  <si>
    <t xml:space="preserve">Drill 1 - SUMIFS</t>
  </si>
  <si>
    <t xml:space="preserve">Weeks 1-2. Month x product sales summary with SUMIFS.</t>
  </si>
  <si>
    <t xml:space="preserve">Drill 1 - Lookups+Refs</t>
  </si>
  <si>
    <t xml:space="preserve">Weeks 2-3. XLOOKUP, IFNA and the $ (mixed reference) grid.</t>
  </si>
  <si>
    <t xml:space="preserve">Raw GL Export</t>
  </si>
  <si>
    <t xml:space="preserve">Weeks 4-5. A deliberately messy expense ledger export. Never edit this tab.</t>
  </si>
  <si>
    <t xml:space="preserve">Drill 2 - Cleaning</t>
  </si>
  <si>
    <t xml:space="preserve">Weeks 4-5. Instructions and checks for your Clean and Change Log tabs.</t>
  </si>
  <si>
    <t xml:space="preserve">Budget</t>
  </si>
  <si>
    <t xml:space="preserve">2025 annual expense budget by cost centre.</t>
  </si>
  <si>
    <t xml:space="preserve">Drill 3 - Pivot</t>
  </si>
  <si>
    <t xml:space="preserve">Week 6. Which cost centre overspent most? Pivot + SUMIFS, reconciled.</t>
  </si>
  <si>
    <t xml:space="preserve">Progress Log</t>
  </si>
  <si>
    <t xml:space="preserve">Record your status. Paste it back to Claude at each checkpoint.</t>
  </si>
  <si>
    <t xml:space="preserve">Keyboard drill (week 1): type x when you can do it without the mouse</t>
  </si>
  <si>
    <t xml:space="preserve">Ctrl + Arrow</t>
  </si>
  <si>
    <t xml:space="preserve">Jump to the edge of a data block</t>
  </si>
  <si>
    <t xml:space="preserve">Ctrl + Shift + Arrow</t>
  </si>
  <si>
    <t xml:space="preserve">Select to the edge of a data block</t>
  </si>
  <si>
    <t xml:space="preserve">F2</t>
  </si>
  <si>
    <t xml:space="preserve">Edit the active cell (see its formula references coloured)</t>
  </si>
  <si>
    <t xml:space="preserve">F4 (while editing)</t>
  </si>
  <si>
    <t xml:space="preserve">Cycle $A$1 -&gt; A$1 -&gt; $A1 -&gt; A1</t>
  </si>
  <si>
    <t xml:space="preserve">Ctrl + PgUp / PgDn</t>
  </si>
  <si>
    <t xml:space="preserve">Move between sheets</t>
  </si>
  <si>
    <t xml:space="preserve">Ctrl + D / Ctrl + R</t>
  </si>
  <si>
    <t xml:space="preserve">Fill down / fill right from the first cell of a selection</t>
  </si>
  <si>
    <t xml:space="preserve">Ctrl + T</t>
  </si>
  <si>
    <t xml:space="preserve">Turn a range into an Excel Table</t>
  </si>
  <si>
    <t xml:space="preserve">Ctrl + ` (backtick)</t>
  </si>
  <si>
    <t xml:space="preserve">Toggle formula view</t>
  </si>
  <si>
    <t xml:space="preserve">Ctrl + [</t>
  </si>
  <si>
    <t xml:space="preserve">Jump to the cells a formula uses (precedents)</t>
  </si>
  <si>
    <t xml:space="preserve">Lookups - Product master</t>
  </si>
  <si>
    <t xml:space="preserve">Reference data. Source: fictional, created for this exercise.</t>
  </si>
  <si>
    <t xml:space="preserve">Product code</t>
  </si>
  <si>
    <t xml:space="preserve">Product name</t>
  </si>
  <si>
    <t xml:space="preserve">Category</t>
  </si>
  <si>
    <t xml:space="preserve">List price</t>
  </si>
  <si>
    <t xml:space="preserve">P-100</t>
  </si>
  <si>
    <t xml:space="preserve">Laptop Standard</t>
  </si>
  <si>
    <t xml:space="preserve">Hardware</t>
  </si>
  <si>
    <t xml:space="preserve">P-200</t>
  </si>
  <si>
    <t xml:space="preserve">Laptop Pro</t>
  </si>
  <si>
    <t xml:space="preserve">P-300</t>
  </si>
  <si>
    <t xml:space="preserve">Support Plan</t>
  </si>
  <si>
    <t xml:space="preserve">Services</t>
  </si>
  <si>
    <t xml:space="preserve">P-400</t>
  </si>
  <si>
    <t xml:space="preserve">Office Licence</t>
  </si>
  <si>
    <t xml:space="preserve">Software</t>
  </si>
  <si>
    <t xml:space="preserve">P-500</t>
  </si>
  <si>
    <t xml:space="preserve">Installation</t>
  </si>
  <si>
    <t xml:space="preserve">Date</t>
  </si>
  <si>
    <t xml:space="preserve">Invoice</t>
  </si>
  <si>
    <t xml:space="preserve">Product</t>
  </si>
  <si>
    <t xml:space="preserve">Region</t>
  </si>
  <si>
    <t xml:space="preserve">Qty</t>
  </si>
  <si>
    <t xml:space="preserve">Unit price</t>
  </si>
  <si>
    <t xml:space="preserve">Discount</t>
  </si>
  <si>
    <t xml:space="preserve">Amount</t>
  </si>
  <si>
    <t xml:space="preserve">INV-10063</t>
  </si>
  <si>
    <t xml:space="preserve">Central</t>
  </si>
  <si>
    <t xml:space="preserve">INV-10069</t>
  </si>
  <si>
    <t xml:space="preserve">INV-10038</t>
  </si>
  <si>
    <t xml:space="preserve">INV-10062</t>
  </si>
  <si>
    <t xml:space="preserve">West</t>
  </si>
  <si>
    <t xml:space="preserve">INV-10056</t>
  </si>
  <si>
    <t xml:space="preserve">East</t>
  </si>
  <si>
    <t xml:space="preserve">INV-10058</t>
  </si>
  <si>
    <t xml:space="preserve">INV-10059</t>
  </si>
  <si>
    <t xml:space="preserve">INV-10073</t>
  </si>
  <si>
    <t xml:space="preserve">North</t>
  </si>
  <si>
    <t xml:space="preserve">INV-10009</t>
  </si>
  <si>
    <t xml:space="preserve">INV-10041</t>
  </si>
  <si>
    <t xml:space="preserve">INV-10047</t>
  </si>
  <si>
    <t xml:space="preserve">INV-10049</t>
  </si>
  <si>
    <t xml:space="preserve">INV-10044</t>
  </si>
  <si>
    <t xml:space="preserve">INV-10088</t>
  </si>
  <si>
    <t xml:space="preserve">INV-10030</t>
  </si>
  <si>
    <t xml:space="preserve">INV-10053</t>
  </si>
  <si>
    <t xml:space="preserve">INV-10078</t>
  </si>
  <si>
    <t xml:space="preserve">INV-10079</t>
  </si>
  <si>
    <t xml:space="preserve">INV-10061</t>
  </si>
  <si>
    <t xml:space="preserve">INV-10064</t>
  </si>
  <si>
    <t xml:space="preserve">INV-10070</t>
  </si>
  <si>
    <t xml:space="preserve">INV-10001</t>
  </si>
  <si>
    <t xml:space="preserve">INV-10040</t>
  </si>
  <si>
    <t xml:space="preserve">INV-10051</t>
  </si>
  <si>
    <t xml:space="preserve">INV-10065</t>
  </si>
  <si>
    <t xml:space="preserve">INV-10080</t>
  </si>
  <si>
    <t xml:space="preserve">INV-10010</t>
  </si>
  <si>
    <t xml:space="preserve">INV-10022</t>
  </si>
  <si>
    <t xml:space="preserve">INV-10027</t>
  </si>
  <si>
    <t xml:space="preserve">INV-10075</t>
  </si>
  <si>
    <t xml:space="preserve">INV-10006</t>
  </si>
  <si>
    <t xml:space="preserve">INV-10037</t>
  </si>
  <si>
    <t xml:space="preserve">INV-10066</t>
  </si>
  <si>
    <t xml:space="preserve">INV-10068</t>
  </si>
  <si>
    <t xml:space="preserve">INV-10026</t>
  </si>
  <si>
    <t xml:space="preserve">INV-10054</t>
  </si>
  <si>
    <t xml:space="preserve">INV-10067</t>
  </si>
  <si>
    <t xml:space="preserve">INV-10005</t>
  </si>
  <si>
    <t xml:space="preserve">INV-10025</t>
  </si>
  <si>
    <t xml:space="preserve">INV-10028</t>
  </si>
  <si>
    <t xml:space="preserve">INV-10045</t>
  </si>
  <si>
    <t xml:space="preserve">INV-10016</t>
  </si>
  <si>
    <t xml:space="preserve">INV-10050</t>
  </si>
  <si>
    <t xml:space="preserve">INV-10012</t>
  </si>
  <si>
    <t xml:space="preserve">INV-10023</t>
  </si>
  <si>
    <t xml:space="preserve">INV-10036</t>
  </si>
  <si>
    <t xml:space="preserve">INV-10039</t>
  </si>
  <si>
    <t xml:space="preserve">INV-10052</t>
  </si>
  <si>
    <t xml:space="preserve">INV-10060</t>
  </si>
  <si>
    <t xml:space="preserve">INV-10008</t>
  </si>
  <si>
    <t xml:space="preserve">INV-10033</t>
  </si>
  <si>
    <t xml:space="preserve">INV-10048</t>
  </si>
  <si>
    <t xml:space="preserve">INV-10071</t>
  </si>
  <si>
    <t xml:space="preserve">INV-10077</t>
  </si>
  <si>
    <t xml:space="preserve">INV-10081</t>
  </si>
  <si>
    <t xml:space="preserve">INV-10011</t>
  </si>
  <si>
    <t xml:space="preserve">INV-10014</t>
  </si>
  <si>
    <t xml:space="preserve">INV-10029</t>
  </si>
  <si>
    <t xml:space="preserve">INV-10057</t>
  </si>
  <si>
    <t xml:space="preserve">INV-10002</t>
  </si>
  <si>
    <t xml:space="preserve">INV-10004</t>
  </si>
  <si>
    <t xml:space="preserve">INV-10034</t>
  </si>
  <si>
    <t xml:space="preserve">INV-10042</t>
  </si>
  <si>
    <t xml:space="preserve">INV-10074</t>
  </si>
  <si>
    <t xml:space="preserve">INV-10021</t>
  </si>
  <si>
    <t xml:space="preserve">INV-10046</t>
  </si>
  <si>
    <t xml:space="preserve">INV-10082</t>
  </si>
  <si>
    <t xml:space="preserve">INV-10083</t>
  </si>
  <si>
    <t xml:space="preserve">INV-10087</t>
  </si>
  <si>
    <t xml:space="preserve">INV-10018</t>
  </si>
  <si>
    <t xml:space="preserve">INV-10031</t>
  </si>
  <si>
    <t xml:space="preserve">INV-10032</t>
  </si>
  <si>
    <t xml:space="preserve">INV-10035</t>
  </si>
  <si>
    <t xml:space="preserve">INV-10043</t>
  </si>
  <si>
    <t xml:space="preserve">INV-10084</t>
  </si>
  <si>
    <t xml:space="preserve">INV-10015</t>
  </si>
  <si>
    <t xml:space="preserve">INV-10017</t>
  </si>
  <si>
    <t xml:space="preserve">INV-10007</t>
  </si>
  <si>
    <t xml:space="preserve">INV-10072</t>
  </si>
  <si>
    <t xml:space="preserve">INV-10003</t>
  </si>
  <si>
    <t xml:space="preserve">INV-10076</t>
  </si>
  <si>
    <t xml:space="preserve">INV-10019</t>
  </si>
  <si>
    <t xml:space="preserve">INV-10085</t>
  </si>
  <si>
    <t xml:space="preserve">INV-10020</t>
  </si>
  <si>
    <t xml:space="preserve">INV-10024</t>
  </si>
  <si>
    <t xml:space="preserve">INV-10013</t>
  </si>
  <si>
    <t xml:space="preserve">INV-10055</t>
  </si>
  <si>
    <t xml:space="preserve">INV-10086</t>
  </si>
  <si>
    <t xml:space="preserve">INV-10089</t>
  </si>
  <si>
    <t xml:space="preserve">INV-10101</t>
  </si>
  <si>
    <t xml:space="preserve">INV-10125</t>
  </si>
  <si>
    <t xml:space="preserve">INV-10136</t>
  </si>
  <si>
    <t xml:space="preserve">INV-10124</t>
  </si>
  <si>
    <t xml:space="preserve">INV-10156</t>
  </si>
  <si>
    <t xml:space="preserve">INV-10179</t>
  </si>
  <si>
    <t xml:space="preserve">INV-10198</t>
  </si>
  <si>
    <t xml:space="preserve">INV-10102</t>
  </si>
  <si>
    <t xml:space="preserve">INV-10108</t>
  </si>
  <si>
    <t xml:space="preserve">INV-10142</t>
  </si>
  <si>
    <t xml:space="preserve">INV-10163</t>
  </si>
  <si>
    <t xml:space="preserve">INV-10178</t>
  </si>
  <si>
    <t xml:space="preserve">INV-10131</t>
  </si>
  <si>
    <t xml:space="preserve">INV-10122</t>
  </si>
  <si>
    <t xml:space="preserve">INV-10147</t>
  </si>
  <si>
    <t xml:space="preserve">INV-10148</t>
  </si>
  <si>
    <t xml:space="preserve">INV-10100</t>
  </si>
  <si>
    <t xml:space="preserve">INV-10132</t>
  </si>
  <si>
    <t xml:space="preserve">INV-10151</t>
  </si>
  <si>
    <t xml:space="preserve">INV-10195</t>
  </si>
  <si>
    <t xml:space="preserve">INV-10113</t>
  </si>
  <si>
    <t xml:space="preserve">INV-10137</t>
  </si>
  <si>
    <t xml:space="preserve">INV-10160</t>
  </si>
  <si>
    <t xml:space="preserve">INV-10165</t>
  </si>
  <si>
    <t xml:space="preserve">INV-10184</t>
  </si>
  <si>
    <t xml:space="preserve">INV-10112</t>
  </si>
  <si>
    <t xml:space="preserve">INV-10116</t>
  </si>
  <si>
    <t xml:space="preserve">INV-10128</t>
  </si>
  <si>
    <t xml:space="preserve">INV-10181</t>
  </si>
  <si>
    <t xml:space="preserve">INV-10182</t>
  </si>
  <si>
    <t xml:space="preserve">INV-10193</t>
  </si>
  <si>
    <t xml:space="preserve">INV-10105</t>
  </si>
  <si>
    <t xml:space="preserve">INV-10109</t>
  </si>
  <si>
    <t xml:space="preserve">INV-10115</t>
  </si>
  <si>
    <t xml:space="preserve">INV-10117</t>
  </si>
  <si>
    <t xml:space="preserve">INV-10168</t>
  </si>
  <si>
    <t xml:space="preserve">INV-10199</t>
  </si>
  <si>
    <t xml:space="preserve">INV-10097</t>
  </si>
  <si>
    <t xml:space="preserve">INV-10138</t>
  </si>
  <si>
    <t xml:space="preserve">INV-10153</t>
  </si>
  <si>
    <t xml:space="preserve">INV-10162</t>
  </si>
  <si>
    <t xml:space="preserve">INV-10187</t>
  </si>
  <si>
    <t xml:space="preserve">INV-10095</t>
  </si>
  <si>
    <t xml:space="preserve">INV-10104</t>
  </si>
  <si>
    <t xml:space="preserve">INV-10119</t>
  </si>
  <si>
    <t xml:space="preserve">INV-10157</t>
  </si>
  <si>
    <t xml:space="preserve">INV-10177</t>
  </si>
  <si>
    <t xml:space="preserve">INV-10164</t>
  </si>
  <si>
    <t xml:space="preserve">INV-10093</t>
  </si>
  <si>
    <t xml:space="preserve">INV-10098</t>
  </si>
  <si>
    <t xml:space="preserve">INV-10111</t>
  </si>
  <si>
    <t xml:space="preserve">INV-10118</t>
  </si>
  <si>
    <t xml:space="preserve">INV-10167</t>
  </si>
  <si>
    <t xml:space="preserve">INV-10186</t>
  </si>
  <si>
    <t xml:space="preserve">INV-10099</t>
  </si>
  <si>
    <t xml:space="preserve">INV-10114</t>
  </si>
  <si>
    <t xml:space="preserve">INV-10120</t>
  </si>
  <si>
    <t xml:space="preserve">INV-10144</t>
  </si>
  <si>
    <t xml:space="preserve">INV-10154</t>
  </si>
  <si>
    <t xml:space="preserve">INV-10170</t>
  </si>
  <si>
    <t xml:space="preserve">INV-10172</t>
  </si>
  <si>
    <t xml:space="preserve">INV-10196</t>
  </si>
  <si>
    <t xml:space="preserve">INV-10106</t>
  </si>
  <si>
    <t xml:space="preserve">INV-10140</t>
  </si>
  <si>
    <t xml:space="preserve">INV-10141</t>
  </si>
  <si>
    <t xml:space="preserve">INV-10183</t>
  </si>
  <si>
    <t xml:space="preserve">INV-10185</t>
  </si>
  <si>
    <t xml:space="preserve">INV-10200</t>
  </si>
  <si>
    <t xml:space="preserve">INV-10094</t>
  </si>
  <si>
    <t xml:space="preserve">INV-10110</t>
  </si>
  <si>
    <t xml:space="preserve">INV-10145</t>
  </si>
  <si>
    <t xml:space="preserve">INV-10194</t>
  </si>
  <si>
    <t xml:space="preserve">INV-10091</t>
  </si>
  <si>
    <t xml:space="preserve">INV-10092</t>
  </si>
  <si>
    <t xml:space="preserve">INV-10127</t>
  </si>
  <si>
    <t xml:space="preserve">INV-10146</t>
  </si>
  <si>
    <t xml:space="preserve">INV-10150</t>
  </si>
  <si>
    <t xml:space="preserve">INV-10166</t>
  </si>
  <si>
    <t xml:space="preserve">INV-10191</t>
  </si>
  <si>
    <t xml:space="preserve">INV-10201</t>
  </si>
  <si>
    <t xml:space="preserve">INV-10174</t>
  </si>
  <si>
    <t xml:space="preserve">INV-10175</t>
  </si>
  <si>
    <t xml:space="preserve">INV-10190</t>
  </si>
  <si>
    <t xml:space="preserve">INV-10103</t>
  </si>
  <si>
    <t xml:space="preserve">INV-10126</t>
  </si>
  <si>
    <t xml:space="preserve">INV-10134</t>
  </si>
  <si>
    <t xml:space="preserve">INV-10176</t>
  </si>
  <si>
    <t xml:space="preserve">INV-10189</t>
  </si>
  <si>
    <t xml:space="preserve">INV-10090</t>
  </si>
  <si>
    <t xml:space="preserve">INV-10143</t>
  </si>
  <si>
    <t xml:space="preserve">INV-10152</t>
  </si>
  <si>
    <t xml:space="preserve">INV-10133</t>
  </si>
  <si>
    <t xml:space="preserve">INV-10129</t>
  </si>
  <si>
    <t xml:space="preserve">INV-10130</t>
  </si>
  <si>
    <t xml:space="preserve">INV-10155</t>
  </si>
  <si>
    <t xml:space="preserve">INV-10171</t>
  </si>
  <si>
    <t xml:space="preserve">INV-10096</t>
  </si>
  <si>
    <t xml:space="preserve">INV-10121</t>
  </si>
  <si>
    <t xml:space="preserve">INV-10161</t>
  </si>
  <si>
    <t xml:space="preserve">INV-10180</t>
  </si>
  <si>
    <t xml:space="preserve">INV-10188</t>
  </si>
  <si>
    <t xml:space="preserve">INV-10149</t>
  </si>
  <si>
    <t xml:space="preserve">INV-10169</t>
  </si>
  <si>
    <t xml:space="preserve">INV-10192</t>
  </si>
  <si>
    <t xml:space="preserve">INV-10107</t>
  </si>
  <si>
    <t xml:space="preserve">INV-10123</t>
  </si>
  <si>
    <t xml:space="preserve">INV-10135</t>
  </si>
  <si>
    <t xml:space="preserve">INV-10159</t>
  </si>
  <si>
    <t xml:space="preserve">INV-10173</t>
  </si>
  <si>
    <t xml:space="preserve">INV-10197</t>
  </si>
  <si>
    <t xml:space="preserve">INV-10139</t>
  </si>
  <si>
    <t xml:space="preserve">INV-10158</t>
  </si>
  <si>
    <t xml:space="preserve">INV-10208</t>
  </si>
  <si>
    <t xml:space="preserve">INV-10204</t>
  </si>
  <si>
    <t xml:space="preserve">INV-10277</t>
  </si>
  <si>
    <t xml:space="preserve">INV-10282</t>
  </si>
  <si>
    <t xml:space="preserve">INV-10213</t>
  </si>
  <si>
    <t xml:space="preserve">INV-10247</t>
  </si>
  <si>
    <t xml:space="preserve">INV-10252</t>
  </si>
  <si>
    <t xml:space="preserve">INV-10214</t>
  </si>
  <si>
    <t xml:space="preserve">INV-10218</t>
  </si>
  <si>
    <t xml:space="preserve">INV-10244</t>
  </si>
  <si>
    <t xml:space="preserve">INV-10248</t>
  </si>
  <si>
    <t xml:space="preserve">INV-10266</t>
  </si>
  <si>
    <t xml:space="preserve">INV-10275</t>
  </si>
  <si>
    <t xml:space="preserve">INV-10279</t>
  </si>
  <si>
    <t xml:space="preserve">INV-10281</t>
  </si>
  <si>
    <t xml:space="preserve">INV-10291</t>
  </si>
  <si>
    <t xml:space="preserve">INV-10219</t>
  </si>
  <si>
    <t xml:space="preserve">INV-10206</t>
  </si>
  <si>
    <t xml:space="preserve">INV-10231</t>
  </si>
  <si>
    <t xml:space="preserve">INV-10241</t>
  </si>
  <si>
    <t xml:space="preserve">INV-10226</t>
  </si>
  <si>
    <t xml:space="preserve">INV-10229</t>
  </si>
  <si>
    <t xml:space="preserve">INV-10264</t>
  </si>
  <si>
    <t xml:space="preserve">INV-10284</t>
  </si>
  <si>
    <t xml:space="preserve">INV-10290</t>
  </si>
  <si>
    <t xml:space="preserve">INV-10294</t>
  </si>
  <si>
    <t xml:space="preserve">INV-10217</t>
  </si>
  <si>
    <t xml:space="preserve">INV-10246</t>
  </si>
  <si>
    <t xml:space="preserve">INV-10261</t>
  </si>
  <si>
    <t xml:space="preserve">INV-10223</t>
  </si>
  <si>
    <t xml:space="preserve">INV-10258</t>
  </si>
  <si>
    <t xml:space="preserve">INV-10262</t>
  </si>
  <si>
    <t xml:space="preserve">INV-10285</t>
  </si>
  <si>
    <t xml:space="preserve">INV-10289</t>
  </si>
  <si>
    <t xml:space="preserve">INV-10215</t>
  </si>
  <si>
    <t xml:space="preserve">INV-10232</t>
  </si>
  <si>
    <t xml:space="preserve">INV-10276</t>
  </si>
  <si>
    <t xml:space="preserve">INV-10280</t>
  </si>
  <si>
    <t xml:space="preserve">INV-10288</t>
  </si>
  <si>
    <t xml:space="preserve">INV-10249</t>
  </si>
  <si>
    <t xml:space="preserve">INV-10260</t>
  </si>
  <si>
    <t xml:space="preserve">INV-10240</t>
  </si>
  <si>
    <t xml:space="preserve">INV-10243</t>
  </si>
  <si>
    <t xml:space="preserve">INV-10250</t>
  </si>
  <si>
    <t xml:space="preserve">INV-10254</t>
  </si>
  <si>
    <t xml:space="preserve">INV-10271</t>
  </si>
  <si>
    <t xml:space="preserve">INV-10292</t>
  </si>
  <si>
    <t xml:space="preserve">INV-10207</t>
  </si>
  <si>
    <t xml:space="preserve">INV-10228</t>
  </si>
  <si>
    <t xml:space="preserve">INV-10238</t>
  </si>
  <si>
    <t xml:space="preserve">INV-10255</t>
  </si>
  <si>
    <t xml:space="preserve">INV-10256</t>
  </si>
  <si>
    <t xml:space="preserve">INV-10273</t>
  </si>
  <si>
    <t xml:space="preserve">INV-10205</t>
  </si>
  <si>
    <t xml:space="preserve">INV-10221</t>
  </si>
  <si>
    <t xml:space="preserve">INV-10224</t>
  </si>
  <si>
    <t xml:space="preserve">INV-10233</t>
  </si>
  <si>
    <t xml:space="preserve">INV-10253</t>
  </si>
  <si>
    <t xml:space="preserve">INV-10210</t>
  </si>
  <si>
    <t xml:space="preserve">INV-10263</t>
  </si>
  <si>
    <t xml:space="preserve">INV-10203</t>
  </si>
  <si>
    <t xml:space="preserve">INV-10235</t>
  </si>
  <si>
    <t xml:space="preserve">INV-10295</t>
  </si>
  <si>
    <t xml:space="preserve">INV-10298</t>
  </si>
  <si>
    <t xml:space="preserve">INV-10293</t>
  </si>
  <si>
    <t xml:space="preserve">INV-10299</t>
  </si>
  <si>
    <t xml:space="preserve">INV-10220</t>
  </si>
  <si>
    <t xml:space="preserve">INV-10245</t>
  </si>
  <si>
    <t xml:space="preserve">INV-10267</t>
  </si>
  <si>
    <t xml:space="preserve">INV-10269</t>
  </si>
  <si>
    <t xml:space="preserve">INV-10301</t>
  </si>
  <si>
    <t xml:space="preserve">INV-10212</t>
  </si>
  <si>
    <t xml:space="preserve">INV-10268</t>
  </si>
  <si>
    <t xml:space="preserve">INV-10230</t>
  </si>
  <si>
    <t xml:space="preserve">INV-10278</t>
  </si>
  <si>
    <t xml:space="preserve">INV-10286</t>
  </si>
  <si>
    <t xml:space="preserve">INV-10296</t>
  </si>
  <si>
    <t xml:space="preserve">INV-10216</t>
  </si>
  <si>
    <t xml:space="preserve">INV-10234</t>
  </si>
  <si>
    <t xml:space="preserve">INV-10237</t>
  </si>
  <si>
    <t xml:space="preserve">INV-10259</t>
  </si>
  <si>
    <t xml:space="preserve">INV-10270</t>
  </si>
  <si>
    <t xml:space="preserve">INV-10283</t>
  </si>
  <si>
    <t xml:space="preserve">INV-10300</t>
  </si>
  <si>
    <t xml:space="preserve">INV-10236</t>
  </si>
  <si>
    <t xml:space="preserve">INV-10272</t>
  </si>
  <si>
    <t xml:space="preserve">INV-10297</t>
  </si>
  <si>
    <t xml:space="preserve">INV-10202</t>
  </si>
  <si>
    <t xml:space="preserve">INV-10209</t>
  </si>
  <si>
    <t xml:space="preserve">INV-10211</t>
  </si>
  <si>
    <t xml:space="preserve">INV-10222</t>
  </si>
  <si>
    <t xml:space="preserve">INV-10242</t>
  </si>
  <si>
    <t xml:space="preserve">INV-10265</t>
  </si>
  <si>
    <t xml:space="preserve">INV-10287</t>
  </si>
  <si>
    <t xml:space="preserve">INV-10225</t>
  </si>
  <si>
    <t xml:space="preserve">INV-10227</t>
  </si>
  <si>
    <t xml:space="preserve">INV-10239</t>
  </si>
  <si>
    <t xml:space="preserve">INV-10251</t>
  </si>
  <si>
    <t xml:space="preserve">INV-10257</t>
  </si>
  <si>
    <t xml:space="preserve">INV-10274</t>
  </si>
  <si>
    <t xml:space="preserve">INV-10310</t>
  </si>
  <si>
    <t xml:space="preserve">INV-10343</t>
  </si>
  <si>
    <t xml:space="preserve">INV-10344</t>
  </si>
  <si>
    <t xml:space="preserve">INV-10351</t>
  </si>
  <si>
    <t xml:space="preserve">INV-10353</t>
  </si>
  <si>
    <t xml:space="preserve">INV-10374</t>
  </si>
  <si>
    <t xml:space="preserve">INV-10377</t>
  </si>
  <si>
    <t xml:space="preserve">INV-10398</t>
  </si>
  <si>
    <t xml:space="preserve">INV-10399</t>
  </si>
  <si>
    <t xml:space="preserve">INV-10312</t>
  </si>
  <si>
    <t xml:space="preserve">INV-10352</t>
  </si>
  <si>
    <t xml:space="preserve">INV-10356</t>
  </si>
  <si>
    <t xml:space="preserve">INV-10357</t>
  </si>
  <si>
    <t xml:space="preserve">INV-10366</t>
  </si>
  <si>
    <t xml:space="preserve">INV-10376</t>
  </si>
  <si>
    <t xml:space="preserve">INV-10385</t>
  </si>
  <si>
    <t xml:space="preserve">INV-10394</t>
  </si>
  <si>
    <t xml:space="preserve">INV-10407</t>
  </si>
  <si>
    <t xml:space="preserve">INV-10325</t>
  </si>
  <si>
    <t xml:space="preserve">INV-10334</t>
  </si>
  <si>
    <t xml:space="preserve">INV-10389</t>
  </si>
  <si>
    <t xml:space="preserve">INV-10391</t>
  </si>
  <si>
    <t xml:space="preserve">INV-10393</t>
  </si>
  <si>
    <t xml:space="preserve">INV-10355</t>
  </si>
  <si>
    <t xml:space="preserve">INV-10362</t>
  </si>
  <si>
    <t xml:space="preserve">INV-10367</t>
  </si>
  <si>
    <t xml:space="preserve">INV-10370</t>
  </si>
  <si>
    <t xml:space="preserve">INV-10396</t>
  </si>
  <si>
    <t xml:space="preserve">INV-10323</t>
  </si>
  <si>
    <t xml:space="preserve">INV-10405</t>
  </si>
  <si>
    <t xml:space="preserve">INV-10408</t>
  </si>
  <si>
    <t xml:space="preserve">INV-10314</t>
  </si>
  <si>
    <t xml:space="preserve">INV-10320</t>
  </si>
  <si>
    <t xml:space="preserve">INV-10354</t>
  </si>
  <si>
    <t xml:space="preserve">INV-10387</t>
  </si>
  <si>
    <t xml:space="preserve">INV-10319</t>
  </si>
  <si>
    <t xml:space="preserve">INV-10336</t>
  </si>
  <si>
    <t xml:space="preserve">INV-10371</t>
  </si>
  <si>
    <t xml:space="preserve">INV-10379</t>
  </si>
  <si>
    <t xml:space="preserve">INV-10306</t>
  </si>
  <si>
    <t xml:space="preserve">INV-10327</t>
  </si>
  <si>
    <t xml:space="preserve">INV-10331</t>
  </si>
  <si>
    <t xml:space="preserve">INV-10369</t>
  </si>
  <si>
    <t xml:space="preserve">INV-10304</t>
  </si>
  <si>
    <t xml:space="preserve">INV-10307</t>
  </si>
  <si>
    <t xml:space="preserve">INV-10308</t>
  </si>
  <si>
    <t xml:space="preserve">INV-10364</t>
  </si>
  <si>
    <t xml:space="preserve">INV-10388</t>
  </si>
  <si>
    <t xml:space="preserve">INV-10409</t>
  </si>
  <si>
    <t xml:space="preserve">INV-10411</t>
  </si>
  <si>
    <t xml:space="preserve">INV-10322</t>
  </si>
  <si>
    <t xml:space="preserve">INV-10340</t>
  </si>
  <si>
    <t xml:space="preserve">INV-10350</t>
  </si>
  <si>
    <t xml:space="preserve">INV-10316</t>
  </si>
  <si>
    <t xml:space="preserve">INV-10349</t>
  </si>
  <si>
    <t xml:space="preserve">INV-10410</t>
  </si>
  <si>
    <t xml:space="preserve">INV-10329</t>
  </si>
  <si>
    <t xml:space="preserve">INV-10345</t>
  </si>
  <si>
    <t xml:space="preserve">INV-10347</t>
  </si>
  <si>
    <t xml:space="preserve">INV-10378</t>
  </si>
  <si>
    <t xml:space="preserve">INV-10317</t>
  </si>
  <si>
    <t xml:space="preserve">INV-10346</t>
  </si>
  <si>
    <t xml:space="preserve">INV-10358</t>
  </si>
  <si>
    <t xml:space="preserve">INV-10406</t>
  </si>
  <si>
    <t xml:space="preserve">INV-10311</t>
  </si>
  <si>
    <t xml:space="preserve">INV-10333</t>
  </si>
  <si>
    <t xml:space="preserve">INV-10335</t>
  </si>
  <si>
    <t xml:space="preserve">INV-10348</t>
  </si>
  <si>
    <t xml:space="preserve">INV-10373</t>
  </si>
  <si>
    <t xml:space="preserve">INV-10375</t>
  </si>
  <si>
    <t xml:space="preserve">INV-10381</t>
  </si>
  <si>
    <t xml:space="preserve">INV-10384</t>
  </si>
  <si>
    <t xml:space="preserve">INV-10403</t>
  </si>
  <si>
    <t xml:space="preserve">INV-10309</t>
  </si>
  <si>
    <t xml:space="preserve">INV-10386</t>
  </si>
  <si>
    <t xml:space="preserve">INV-10400</t>
  </si>
  <si>
    <t xml:space="preserve">INV-10359</t>
  </si>
  <si>
    <t xml:space="preserve">INV-10372</t>
  </si>
  <si>
    <t xml:space="preserve">INV-10380</t>
  </si>
  <si>
    <t xml:space="preserve">INV-10402</t>
  </si>
  <si>
    <t xml:space="preserve">INV-10326</t>
  </si>
  <si>
    <t xml:space="preserve">INV-10330</t>
  </si>
  <si>
    <t xml:space="preserve">INV-10341</t>
  </si>
  <si>
    <t xml:space="preserve">INV-10382</t>
  </si>
  <si>
    <t xml:space="preserve">INV-10383</t>
  </si>
  <si>
    <t xml:space="preserve">INV-10397</t>
  </si>
  <si>
    <t xml:space="preserve">INV-10337</t>
  </si>
  <si>
    <t xml:space="preserve">INV-10313</t>
  </si>
  <si>
    <t xml:space="preserve">INV-10318</t>
  </si>
  <si>
    <t xml:space="preserve">INV-10321</t>
  </si>
  <si>
    <t xml:space="preserve">INV-10342</t>
  </si>
  <si>
    <t xml:space="preserve">INV-10360</t>
  </si>
  <si>
    <t xml:space="preserve">INV-10390</t>
  </si>
  <si>
    <t xml:space="preserve">INV-10338</t>
  </si>
  <si>
    <t xml:space="preserve">INV-10339</t>
  </si>
  <si>
    <t xml:space="preserve">INV-10392</t>
  </si>
  <si>
    <t xml:space="preserve">INV-10395</t>
  </si>
  <si>
    <t xml:space="preserve">INV-10302</t>
  </si>
  <si>
    <t xml:space="preserve">INV-10305</t>
  </si>
  <si>
    <t xml:space="preserve">INV-10315</t>
  </si>
  <si>
    <t xml:space="preserve">INV-10401</t>
  </si>
  <si>
    <t xml:space="preserve">INV-10404</t>
  </si>
  <si>
    <t xml:space="preserve">INV-10324</t>
  </si>
  <si>
    <t xml:space="preserve">INV-10332</t>
  </si>
  <si>
    <t xml:space="preserve">INV-10361</t>
  </si>
  <si>
    <t xml:space="preserve">INV-10363</t>
  </si>
  <si>
    <t xml:space="preserve">INV-10365</t>
  </si>
  <si>
    <t xml:space="preserve">INV-10368</t>
  </si>
  <si>
    <t xml:space="preserve">INV-10303</t>
  </si>
  <si>
    <t xml:space="preserve">INV-10328</t>
  </si>
  <si>
    <t xml:space="preserve">INV-10415</t>
  </si>
  <si>
    <t xml:space="preserve">INV-10430</t>
  </si>
  <si>
    <t xml:space="preserve">INV-10458</t>
  </si>
  <si>
    <t xml:space="preserve">INV-10435</t>
  </si>
  <si>
    <t xml:space="preserve">INV-10468</t>
  </si>
  <si>
    <t xml:space="preserve">INV-10455</t>
  </si>
  <si>
    <t xml:space="preserve">INV-10464</t>
  </si>
  <si>
    <t xml:space="preserve">INV-10466</t>
  </si>
  <si>
    <t xml:space="preserve">INV-10471</t>
  </si>
  <si>
    <t xml:space="preserve">INV-10452</t>
  </si>
  <si>
    <t xml:space="preserve">INV-10459</t>
  </si>
  <si>
    <t xml:space="preserve">INV-10460</t>
  </si>
  <si>
    <t xml:space="preserve">INV-10442</t>
  </si>
  <si>
    <t xml:space="preserve">INV-10444</t>
  </si>
  <si>
    <t xml:space="preserve">INV-10449</t>
  </si>
  <si>
    <t xml:space="preserve">INV-10432</t>
  </si>
  <si>
    <t xml:space="preserve">INV-10483</t>
  </si>
  <si>
    <t xml:space="preserve">INV-10497</t>
  </si>
  <si>
    <t xml:space="preserve">INV-10436</t>
  </si>
  <si>
    <t xml:space="preserve">INV-10421</t>
  </si>
  <si>
    <t xml:space="preserve">INV-10429</t>
  </si>
  <si>
    <t xml:space="preserve">INV-10446</t>
  </si>
  <si>
    <t xml:space="preserve">INV-10492</t>
  </si>
  <si>
    <t xml:space="preserve">INV-10412</t>
  </si>
  <si>
    <t xml:space="preserve">INV-10475</t>
  </si>
  <si>
    <t xml:space="preserve">INV-10493</t>
  </si>
  <si>
    <t xml:space="preserve">INV-10414</t>
  </si>
  <si>
    <t xml:space="preserve">INV-10420</t>
  </si>
  <si>
    <t xml:space="preserve">INV-10434</t>
  </si>
  <si>
    <t xml:space="preserve">INV-10440</t>
  </si>
  <si>
    <t xml:space="preserve">INV-10441</t>
  </si>
  <si>
    <t xml:space="preserve">INV-10450</t>
  </si>
  <si>
    <t xml:space="preserve">INV-10470</t>
  </si>
  <si>
    <t xml:space="preserve">INV-10474</t>
  </si>
  <si>
    <t xml:space="preserve">INV-10489</t>
  </si>
  <si>
    <t xml:space="preserve">INV-10453</t>
  </si>
  <si>
    <t xml:space="preserve">INV-10479</t>
  </si>
  <si>
    <t xml:space="preserve">INV-10467</t>
  </si>
  <si>
    <t xml:space="preserve">INV-10477</t>
  </si>
  <si>
    <t xml:space="preserve">INV-10413</t>
  </si>
  <si>
    <t xml:space="preserve">INV-10423</t>
  </si>
  <si>
    <t xml:space="preserve">INV-10481</t>
  </si>
  <si>
    <t xml:space="preserve">INV-10416</t>
  </si>
  <si>
    <t xml:space="preserve">INV-10422</t>
  </si>
  <si>
    <t xml:space="preserve">INV-10425</t>
  </si>
  <si>
    <t xml:space="preserve">INV-10431</t>
  </si>
  <si>
    <t xml:space="preserve">INV-10437</t>
  </si>
  <si>
    <t xml:space="preserve">INV-10456</t>
  </si>
  <si>
    <t xml:space="preserve">INV-10461</t>
  </si>
  <si>
    <t xml:space="preserve">INV-10439</t>
  </si>
  <si>
    <t xml:space="preserve">INV-10462</t>
  </si>
  <si>
    <t xml:space="preserve">INV-10485</t>
  </si>
  <si>
    <t xml:space="preserve">INV-10487</t>
  </si>
  <si>
    <t xml:space="preserve">INV-10451</t>
  </si>
  <si>
    <t xml:space="preserve">INV-10417</t>
  </si>
  <si>
    <t xml:space="preserve">INV-10424</t>
  </si>
  <si>
    <t xml:space="preserve">INV-10418</t>
  </si>
  <si>
    <t xml:space="preserve">INV-10426</t>
  </si>
  <si>
    <t xml:space="preserve">INV-10495</t>
  </si>
  <si>
    <t xml:space="preserve">INV-10427</t>
  </si>
  <si>
    <t xml:space="preserve">INV-10428</t>
  </si>
  <si>
    <t xml:space="preserve">INV-10445</t>
  </si>
  <si>
    <t xml:space="preserve">INV-10447</t>
  </si>
  <si>
    <t xml:space="preserve">INV-10473</t>
  </si>
  <si>
    <t xml:space="preserve">INV-10419</t>
  </si>
  <si>
    <t xml:space="preserve">INV-10476</t>
  </si>
  <si>
    <t xml:space="preserve">INV-10433</t>
  </si>
  <si>
    <t xml:space="preserve">INV-10438</t>
  </si>
  <si>
    <t xml:space="preserve">INV-10472</t>
  </si>
  <si>
    <t xml:space="preserve">INV-10484</t>
  </si>
  <si>
    <t xml:space="preserve">INV-10488</t>
  </si>
  <si>
    <t xml:space="preserve">INV-10448</t>
  </si>
  <si>
    <t xml:space="preserve">INV-10465</t>
  </si>
  <si>
    <t xml:space="preserve">INV-10480</t>
  </si>
  <si>
    <t xml:space="preserve">INV-10486</t>
  </si>
  <si>
    <t xml:space="preserve">INV-10496</t>
  </si>
  <si>
    <t xml:space="preserve">INV-10454</t>
  </si>
  <si>
    <t xml:space="preserve">INV-10494</t>
  </si>
  <si>
    <t xml:space="preserve">INV-10478</t>
  </si>
  <si>
    <t xml:space="preserve">INV-10443</t>
  </si>
  <si>
    <t xml:space="preserve">INV-10482</t>
  </si>
  <si>
    <t xml:space="preserve">INV-10457</t>
  </si>
  <si>
    <t xml:space="preserve">INV-10463</t>
  </si>
  <si>
    <t xml:space="preserve">INV-10490</t>
  </si>
  <si>
    <t xml:space="preserve">INV-10491</t>
  </si>
  <si>
    <t xml:space="preserve">INV-10469</t>
  </si>
  <si>
    <t xml:space="preserve">INV-10511</t>
  </si>
  <si>
    <t xml:space="preserve">INV-10551</t>
  </si>
  <si>
    <t xml:space="preserve">INV-10582</t>
  </si>
  <si>
    <t xml:space="preserve">INV-10509</t>
  </si>
  <si>
    <t xml:space="preserve">INV-10525</t>
  </si>
  <si>
    <t xml:space="preserve">INV-10575</t>
  </si>
  <si>
    <t xml:space="preserve">INV-10552</t>
  </si>
  <si>
    <t xml:space="preserve">INV-10572</t>
  </si>
  <si>
    <t xml:space="preserve">INV-10595</t>
  </si>
  <si>
    <t xml:space="preserve">INV-10508</t>
  </si>
  <si>
    <t xml:space="preserve">INV-10512</t>
  </si>
  <si>
    <t xml:space="preserve">INV-10535</t>
  </si>
  <si>
    <t xml:space="preserve">INV-10538</t>
  </si>
  <si>
    <t xml:space="preserve">INV-10573</t>
  </si>
  <si>
    <t xml:space="preserve">INV-10574</t>
  </si>
  <si>
    <t xml:space="preserve">INV-10589</t>
  </si>
  <si>
    <t xml:space="preserve">INV-10531</t>
  </si>
  <si>
    <t xml:space="preserve">INV-10567</t>
  </si>
  <si>
    <t xml:space="preserve">INV-10592</t>
  </si>
  <si>
    <t xml:space="preserve">INV-10527</t>
  </si>
  <si>
    <t xml:space="preserve">INV-10550</t>
  </si>
  <si>
    <t xml:space="preserve">INV-10569</t>
  </si>
  <si>
    <t xml:space="preserve">INV-10581</t>
  </si>
  <si>
    <t xml:space="preserve">INV-10549</t>
  </si>
  <si>
    <t xml:space="preserve">INV-10555</t>
  </si>
  <si>
    <t xml:space="preserve">INV-10584</t>
  </si>
  <si>
    <t xml:space="preserve">INV-10594</t>
  </si>
  <si>
    <t xml:space="preserve">INV-10524</t>
  </si>
  <si>
    <t xml:space="preserve">INV-10530</t>
  </si>
  <si>
    <t xml:space="preserve">INV-10587</t>
  </si>
  <si>
    <t xml:space="preserve">INV-10597</t>
  </si>
  <si>
    <t xml:space="preserve">INV-10498</t>
  </si>
  <si>
    <t xml:space="preserve">INV-10514</t>
  </si>
  <si>
    <t xml:space="preserve">INV-10566</t>
  </si>
  <si>
    <t xml:space="preserve">INV-10570</t>
  </si>
  <si>
    <t xml:space="preserve">INV-10590</t>
  </si>
  <si>
    <t xml:space="preserve">INV-10591</t>
  </si>
  <si>
    <t xml:space="preserve">INV-10539</t>
  </si>
  <si>
    <t xml:space="preserve">INV-10553</t>
  </si>
  <si>
    <t xml:space="preserve">INV-10577</t>
  </si>
  <si>
    <t xml:space="preserve">INV-10598</t>
  </si>
  <si>
    <t xml:space="preserve">INV-10523</t>
  </si>
  <si>
    <t xml:space="preserve">INV-10537</t>
  </si>
  <si>
    <t xml:space="preserve">INV-10564</t>
  </si>
  <si>
    <t xml:space="preserve">INV-10504</t>
  </si>
  <si>
    <t xml:space="preserve">INV-10510</t>
  </si>
  <si>
    <t xml:space="preserve">INV-10542</t>
  </si>
  <si>
    <t xml:space="preserve">INV-10571</t>
  </si>
  <si>
    <t xml:space="preserve">INV-10593</t>
  </si>
  <si>
    <t xml:space="preserve">INV-10515</t>
  </si>
  <si>
    <t xml:space="preserve">INV-10519</t>
  </si>
  <si>
    <t xml:space="preserve">INV-10546</t>
  </si>
  <si>
    <t xml:space="preserve">INV-10576</t>
  </si>
  <si>
    <t xml:space="preserve">INV-10580</t>
  </si>
  <si>
    <t xml:space="preserve">INV-10586</t>
  </si>
  <si>
    <t xml:space="preserve">INV-10506</t>
  </si>
  <si>
    <t xml:space="preserve">INV-10516</t>
  </si>
  <si>
    <t xml:space="preserve">INV-10522</t>
  </si>
  <si>
    <t xml:space="preserve">INV-10562</t>
  </si>
  <si>
    <t xml:space="preserve">INV-10585</t>
  </si>
  <si>
    <t xml:space="preserve">INV-10596</t>
  </si>
  <si>
    <t xml:space="preserve">INV-10501</t>
  </si>
  <si>
    <t xml:space="preserve">INV-10507</t>
  </si>
  <si>
    <t xml:space="preserve">INV-10532</t>
  </si>
  <si>
    <t xml:space="preserve">INV-10547</t>
  </si>
  <si>
    <t xml:space="preserve">INV-10500</t>
  </si>
  <si>
    <t xml:space="preserve">INV-10503</t>
  </si>
  <si>
    <t xml:space="preserve">INV-10541</t>
  </si>
  <si>
    <t xml:space="preserve">INV-10554</t>
  </si>
  <si>
    <t xml:space="preserve">INV-10568</t>
  </si>
  <si>
    <t xml:space="preserve">INV-10578</t>
  </si>
  <si>
    <t xml:space="preserve">INV-10529</t>
  </si>
  <si>
    <t xml:space="preserve">INV-10565</t>
  </si>
  <si>
    <t xml:space="preserve">INV-10518</t>
  </si>
  <si>
    <t xml:space="preserve">INV-10557</t>
  </si>
  <si>
    <t xml:space="preserve">INV-10583</t>
  </si>
  <si>
    <t xml:space="preserve">INV-10560</t>
  </si>
  <si>
    <t xml:space="preserve">INV-10599</t>
  </si>
  <si>
    <t xml:space="preserve">INV-10536</t>
  </si>
  <si>
    <t xml:space="preserve">INV-10559</t>
  </si>
  <si>
    <t xml:space="preserve">INV-10588</t>
  </si>
  <si>
    <t xml:space="preserve">INV-10563</t>
  </si>
  <si>
    <t xml:space="preserve">INV-10502</t>
  </si>
  <si>
    <t xml:space="preserve">INV-10505</t>
  </si>
  <si>
    <t xml:space="preserve">INV-10513</t>
  </si>
  <si>
    <t xml:space="preserve">INV-10520</t>
  </si>
  <si>
    <t xml:space="preserve">INV-10526</t>
  </si>
  <si>
    <t xml:space="preserve">INV-10548</t>
  </si>
  <si>
    <t xml:space="preserve">INV-10558</t>
  </si>
  <si>
    <t xml:space="preserve">INV-10499</t>
  </si>
  <si>
    <t xml:space="preserve">INV-10533</t>
  </si>
  <si>
    <t xml:space="preserve">INV-10534</t>
  </si>
  <si>
    <t xml:space="preserve">INV-10540</t>
  </si>
  <si>
    <t xml:space="preserve">INV-10556</t>
  </si>
  <si>
    <t xml:space="preserve">INV-10543</t>
  </si>
  <si>
    <t xml:space="preserve">INV-10545</t>
  </si>
  <si>
    <t xml:space="preserve">INV-10579</t>
  </si>
  <si>
    <t xml:space="preserve">INV-10517</t>
  </si>
  <si>
    <t xml:space="preserve">INV-10521</t>
  </si>
  <si>
    <t xml:space="preserve">INV-10528</t>
  </si>
  <si>
    <t xml:space="preserve">INV-10544</t>
  </si>
  <si>
    <t xml:space="preserve">INV-10561</t>
  </si>
  <si>
    <t xml:space="preserve">INV-10697</t>
  </si>
  <si>
    <t xml:space="preserve">INV-10700</t>
  </si>
  <si>
    <t xml:space="preserve">INV-10606</t>
  </si>
  <si>
    <t xml:space="preserve">INV-10620</t>
  </si>
  <si>
    <t xml:space="preserve">INV-10624</t>
  </si>
  <si>
    <t xml:space="preserve">INV-10641</t>
  </si>
  <si>
    <t xml:space="preserve">INV-10686</t>
  </si>
  <si>
    <t xml:space="preserve">INV-10690</t>
  </si>
  <si>
    <t xml:space="preserve">INV-10698</t>
  </si>
  <si>
    <t xml:space="preserve">INV-10602</t>
  </si>
  <si>
    <t xml:space="preserve">INV-10609</t>
  </si>
  <si>
    <t xml:space="preserve">INV-10610</t>
  </si>
  <si>
    <t xml:space="preserve">INV-10647</t>
  </si>
  <si>
    <t xml:space="preserve">INV-10650</t>
  </si>
  <si>
    <t xml:space="preserve">INV-10653</t>
  </si>
  <si>
    <t xml:space="preserve">INV-10658</t>
  </si>
  <si>
    <t xml:space="preserve">INV-10677</t>
  </si>
  <si>
    <t xml:space="preserve">INV-10660</t>
  </si>
  <si>
    <t xml:space="preserve">INV-10671</t>
  </si>
  <si>
    <t xml:space="preserve">INV-10693</t>
  </si>
  <si>
    <t xml:space="preserve">INV-10645</t>
  </si>
  <si>
    <t xml:space="preserve">INV-10648</t>
  </si>
  <si>
    <t xml:space="preserve">INV-10665</t>
  </si>
  <si>
    <t xml:space="preserve">INV-10634</t>
  </si>
  <si>
    <t xml:space="preserve">INV-10661</t>
  </si>
  <si>
    <t xml:space="preserve">INV-10667</t>
  </si>
  <si>
    <t xml:space="preserve">INV-10695</t>
  </si>
  <si>
    <t xml:space="preserve">INV-10638</t>
  </si>
  <si>
    <t xml:space="preserve">INV-10651</t>
  </si>
  <si>
    <t xml:space="preserve">INV-10657</t>
  </si>
  <si>
    <t xml:space="preserve">INV-10659</t>
  </si>
  <si>
    <t xml:space="preserve">INV-10675</t>
  </si>
  <si>
    <t xml:space="preserve">INV-10622</t>
  </si>
  <si>
    <t xml:space="preserve">INV-10666</t>
  </si>
  <si>
    <t xml:space="preserve">INV-10692</t>
  </si>
  <si>
    <t xml:space="preserve">INV-10621</t>
  </si>
  <si>
    <t xml:space="preserve">INV-10629</t>
  </si>
  <si>
    <t xml:space="preserve">INV-10639</t>
  </si>
  <si>
    <t xml:space="preserve">INV-10655</t>
  </si>
  <si>
    <t xml:space="preserve">INV-10656</t>
  </si>
  <si>
    <t xml:space="preserve">INV-10603</t>
  </si>
  <si>
    <t xml:space="preserve">INV-10614</t>
  </si>
  <si>
    <t xml:space="preserve">INV-10617</t>
  </si>
  <si>
    <t xml:space="preserve">INV-10619</t>
  </si>
  <si>
    <t xml:space="preserve">INV-10640</t>
  </si>
  <si>
    <t xml:space="preserve">INV-10642</t>
  </si>
  <si>
    <t xml:space="preserve">INV-10699</t>
  </si>
  <si>
    <t xml:space="preserve">INV-10652</t>
  </si>
  <si>
    <t xml:space="preserve">INV-10623</t>
  </si>
  <si>
    <t xml:space="preserve">INV-10633</t>
  </si>
  <si>
    <t xml:space="preserve">INV-10646</t>
  </si>
  <si>
    <t xml:space="preserve">INV-10654</t>
  </si>
  <si>
    <t xml:space="preserve">INV-10601</t>
  </si>
  <si>
    <t xml:space="preserve">INV-10604</t>
  </si>
  <si>
    <t xml:space="preserve">INV-10607</t>
  </si>
  <si>
    <t xml:space="preserve">INV-10608</t>
  </si>
  <si>
    <t xml:space="preserve">INV-10615</t>
  </si>
  <si>
    <t xml:space="preserve">INV-10628</t>
  </si>
  <si>
    <t xml:space="preserve">INV-10676</t>
  </si>
  <si>
    <t xml:space="preserve">INV-10616</t>
  </si>
  <si>
    <t xml:space="preserve">INV-10680</t>
  </si>
  <si>
    <t xml:space="preserve">INV-10684</t>
  </si>
  <si>
    <t xml:space="preserve">INV-10644</t>
  </si>
  <si>
    <t xml:space="preserve">INV-10674</t>
  </si>
  <si>
    <t xml:space="preserve">INV-10687</t>
  </si>
  <si>
    <t xml:space="preserve">INV-10691</t>
  </si>
  <si>
    <t xml:space="preserve">INV-10643</t>
  </si>
  <si>
    <t xml:space="preserve">INV-10664</t>
  </si>
  <si>
    <t xml:space="preserve">INV-10678</t>
  </si>
  <si>
    <t xml:space="preserve">INV-10679</t>
  </si>
  <si>
    <t xml:space="preserve">INV-10685</t>
  </si>
  <si>
    <t xml:space="preserve">INV-10611</t>
  </si>
  <si>
    <t xml:space="preserve">INV-10627</t>
  </si>
  <si>
    <t xml:space="preserve">INV-10613</t>
  </si>
  <si>
    <t xml:space="preserve">INV-10636</t>
  </si>
  <si>
    <t xml:space="preserve">INV-10672</t>
  </si>
  <si>
    <t xml:space="preserve">INV-10683</t>
  </si>
  <si>
    <t xml:space="preserve">INV-10631</t>
  </si>
  <si>
    <t xml:space="preserve">INV-10662</t>
  </si>
  <si>
    <t xml:space="preserve">INV-10673</t>
  </si>
  <si>
    <t xml:space="preserve">INV-10626</t>
  </si>
  <si>
    <t xml:space="preserve">INV-10696</t>
  </si>
  <si>
    <t xml:space="preserve">INV-10600</t>
  </si>
  <si>
    <t xml:space="preserve">INV-10625</t>
  </si>
  <si>
    <t xml:space="preserve">INV-10630</t>
  </si>
  <si>
    <t xml:space="preserve">INV-10649</t>
  </si>
  <si>
    <t xml:space="preserve">INV-10668</t>
  </si>
  <si>
    <t xml:space="preserve">INV-10670</t>
  </si>
  <si>
    <t xml:space="preserve">INV-10682</t>
  </si>
  <si>
    <t xml:space="preserve">INV-10688</t>
  </si>
  <si>
    <t xml:space="preserve">INV-10632</t>
  </si>
  <si>
    <t xml:space="preserve">INV-10637</t>
  </si>
  <si>
    <t xml:space="preserve">INV-10612</t>
  </si>
  <si>
    <t xml:space="preserve">INV-10635</t>
  </si>
  <si>
    <t xml:space="preserve">INV-10663</t>
  </si>
  <si>
    <t xml:space="preserve">INV-10669</t>
  </si>
  <si>
    <t xml:space="preserve">INV-10605</t>
  </si>
  <si>
    <t xml:space="preserve">INV-10681</t>
  </si>
  <si>
    <t xml:space="preserve">INV-10689</t>
  </si>
  <si>
    <t xml:space="preserve">INV-10694</t>
  </si>
  <si>
    <t xml:space="preserve">INV-10618</t>
  </si>
  <si>
    <t xml:space="preserve">INV-10769</t>
  </si>
  <si>
    <t xml:space="preserve">INV-10775</t>
  </si>
  <si>
    <t xml:space="preserve">INV-10719</t>
  </si>
  <si>
    <t xml:space="preserve">INV-10723</t>
  </si>
  <si>
    <t xml:space="preserve">INV-10729</t>
  </si>
  <si>
    <t xml:space="preserve">INV-10772</t>
  </si>
  <si>
    <t xml:space="preserve">INV-10742</t>
  </si>
  <si>
    <t xml:space="preserve">INV-10752</t>
  </si>
  <si>
    <t xml:space="preserve">INV-10770</t>
  </si>
  <si>
    <t xml:space="preserve">INV-10778</t>
  </si>
  <si>
    <t xml:space="preserve">INV-10787</t>
  </si>
  <si>
    <t xml:space="preserve">INV-10721</t>
  </si>
  <si>
    <t xml:space="preserve">INV-10741</t>
  </si>
  <si>
    <t xml:space="preserve">INV-10748</t>
  </si>
  <si>
    <t xml:space="preserve">INV-10740</t>
  </si>
  <si>
    <t xml:space="preserve">INV-10758</t>
  </si>
  <si>
    <t xml:space="preserve">INV-10705</t>
  </si>
  <si>
    <t xml:space="preserve">INV-10709</t>
  </si>
  <si>
    <t xml:space="preserve">INV-10726</t>
  </si>
  <si>
    <t xml:space="preserve">INV-10753</t>
  </si>
  <si>
    <t xml:space="preserve">INV-10781</t>
  </si>
  <si>
    <t xml:space="preserve">INV-10784</t>
  </si>
  <si>
    <t xml:space="preserve">INV-10786</t>
  </si>
  <si>
    <t xml:space="preserve">INV-10717</t>
  </si>
  <si>
    <t xml:space="preserve">INV-10727</t>
  </si>
  <si>
    <t xml:space="preserve">INV-10782</t>
  </si>
  <si>
    <t xml:space="preserve">INV-10718</t>
  </si>
  <si>
    <t xml:space="preserve">INV-10722</t>
  </si>
  <si>
    <t xml:space="preserve">INV-10724</t>
  </si>
  <si>
    <t xml:space="preserve">INV-10731</t>
  </si>
  <si>
    <t xml:space="preserve">INV-10756</t>
  </si>
  <si>
    <t xml:space="preserve">INV-10776</t>
  </si>
  <si>
    <t xml:space="preserve">INV-10734</t>
  </si>
  <si>
    <t xml:space="preserve">INV-10762</t>
  </si>
  <si>
    <t xml:space="preserve">INV-10780</t>
  </si>
  <si>
    <t xml:space="preserve">INV-10708</t>
  </si>
  <si>
    <t xml:space="preserve">INV-10738</t>
  </si>
  <si>
    <t xml:space="preserve">INV-10763</t>
  </si>
  <si>
    <t xml:space="preserve">INV-10706</t>
  </si>
  <si>
    <t xml:space="preserve">INV-10712</t>
  </si>
  <si>
    <t xml:space="preserve">INV-10730</t>
  </si>
  <si>
    <t xml:space="preserve">INV-10759</t>
  </si>
  <si>
    <t xml:space="preserve">INV-10765</t>
  </si>
  <si>
    <t xml:space="preserve">INV-10779</t>
  </si>
  <si>
    <t xml:space="preserve">INV-10744</t>
  </si>
  <si>
    <t xml:space="preserve">INV-10783</t>
  </si>
  <si>
    <t xml:space="preserve">INV-10707</t>
  </si>
  <si>
    <t xml:space="preserve">INV-10725</t>
  </si>
  <si>
    <t xml:space="preserve">INV-10736</t>
  </si>
  <si>
    <t xml:space="preserve">INV-10767</t>
  </si>
  <si>
    <t xml:space="preserve">INV-10735</t>
  </si>
  <si>
    <t xml:space="preserve">INV-10703</t>
  </si>
  <si>
    <t xml:space="preserve">INV-10704</t>
  </si>
  <si>
    <t xml:space="preserve">INV-10720</t>
  </si>
  <si>
    <t xml:space="preserve">INV-10743</t>
  </si>
  <si>
    <t xml:space="preserve">INV-10746</t>
  </si>
  <si>
    <t xml:space="preserve">INV-10710</t>
  </si>
  <si>
    <t xml:space="preserve">INV-10711</t>
  </si>
  <si>
    <t xml:space="preserve">INV-10733</t>
  </si>
  <si>
    <t xml:space="preserve">INV-10766</t>
  </si>
  <si>
    <t xml:space="preserve">INV-10774</t>
  </si>
  <si>
    <t xml:space="preserve">INV-10715</t>
  </si>
  <si>
    <t xml:space="preserve">INV-10749</t>
  </si>
  <si>
    <t xml:space="preserve">INV-10768</t>
  </si>
  <si>
    <t xml:space="preserve">INV-10777</t>
  </si>
  <si>
    <t xml:space="preserve">INV-10788</t>
  </si>
  <si>
    <t xml:space="preserve">INV-10714</t>
  </si>
  <si>
    <t xml:space="preserve">INV-10747</t>
  </si>
  <si>
    <t xml:space="preserve">INV-10750</t>
  </si>
  <si>
    <t xml:space="preserve">INV-10754</t>
  </si>
  <si>
    <t xml:space="preserve">INV-10771</t>
  </si>
  <si>
    <t xml:space="preserve">INV-10702</t>
  </si>
  <si>
    <t xml:space="preserve">INV-10713</t>
  </si>
  <si>
    <t xml:space="preserve">INV-10728</t>
  </si>
  <si>
    <t xml:space="preserve">INV-10732</t>
  </si>
  <si>
    <t xml:space="preserve">INV-10760</t>
  </si>
  <si>
    <t xml:space="preserve">INV-10764</t>
  </si>
  <si>
    <t xml:space="preserve">INV-10773</t>
  </si>
  <si>
    <t xml:space="preserve">INV-10701</t>
  </si>
  <si>
    <t xml:space="preserve">INV-10755</t>
  </si>
  <si>
    <t xml:space="preserve">INV-10761</t>
  </si>
  <si>
    <t xml:space="preserve">INV-10745</t>
  </si>
  <si>
    <t xml:space="preserve">INV-10785</t>
  </si>
  <si>
    <t xml:space="preserve">INV-10716</t>
  </si>
  <si>
    <t xml:space="preserve">INV-10737</t>
  </si>
  <si>
    <t xml:space="preserve">INV-10739</t>
  </si>
  <si>
    <t xml:space="preserve">INV-10751</t>
  </si>
  <si>
    <t xml:space="preserve">INV-10757</t>
  </si>
  <si>
    <t xml:space="preserve">INV-10803</t>
  </si>
  <si>
    <t xml:space="preserve">INV-10822</t>
  </si>
  <si>
    <t xml:space="preserve">INV-10835</t>
  </si>
  <si>
    <t xml:space="preserve">INV-10886</t>
  </si>
  <si>
    <t xml:space="preserve">INV-10796</t>
  </si>
  <si>
    <t xml:space="preserve">INV-10860</t>
  </si>
  <si>
    <t xml:space="preserve">INV-10891</t>
  </si>
  <si>
    <t xml:space="preserve">INV-10792</t>
  </si>
  <si>
    <t xml:space="preserve">INV-10818</t>
  </si>
  <si>
    <t xml:space="preserve">INV-10829</t>
  </si>
  <si>
    <t xml:space="preserve">INV-10867</t>
  </si>
  <si>
    <t xml:space="preserve">INV-10877</t>
  </si>
  <si>
    <t xml:space="preserve">INV-10840</t>
  </si>
  <si>
    <t xml:space="preserve">INV-10855</t>
  </si>
  <si>
    <t xml:space="preserve">INV-10865</t>
  </si>
  <si>
    <t xml:space="preserve">INV-10869</t>
  </si>
  <si>
    <t xml:space="preserve">INV-10882</t>
  </si>
  <si>
    <t xml:space="preserve">INV-10813</t>
  </si>
  <si>
    <t xml:space="preserve">INV-10862</t>
  </si>
  <si>
    <t xml:space="preserve">INV-10876</t>
  </si>
  <si>
    <t xml:space="preserve">INV-10883</t>
  </si>
  <si>
    <t xml:space="preserve">INV-10807</t>
  </si>
  <si>
    <t xml:space="preserve">INV-10833</t>
  </si>
  <si>
    <t xml:space="preserve">INV-10846</t>
  </si>
  <si>
    <t xml:space="preserve">INV-10847</t>
  </si>
  <si>
    <t xml:space="preserve">INV-10866</t>
  </si>
  <si>
    <t xml:space="preserve">INV-10881</t>
  </si>
  <si>
    <t xml:space="preserve">INV-10800</t>
  </si>
  <si>
    <t xml:space="preserve">INV-10801</t>
  </si>
  <si>
    <t xml:space="preserve">INV-10823</t>
  </si>
  <si>
    <t xml:space="preserve">INV-10841</t>
  </si>
  <si>
    <t xml:space="preserve">INV-10863</t>
  </si>
  <si>
    <t xml:space="preserve">INV-10875</t>
  </si>
  <si>
    <t xml:space="preserve">INV-10802</t>
  </si>
  <si>
    <t xml:space="preserve">INV-10806</t>
  </si>
  <si>
    <t xml:space="preserve">INV-10817</t>
  </si>
  <si>
    <t xml:space="preserve">INV-10794</t>
  </si>
  <si>
    <t xml:space="preserve">INV-10808</t>
  </si>
  <si>
    <t xml:space="preserve">INV-10838</t>
  </si>
  <si>
    <t xml:space="preserve">INV-10872</t>
  </si>
  <si>
    <t xml:space="preserve">INV-10889</t>
  </si>
  <si>
    <t xml:space="preserve">INV-10824</t>
  </si>
  <si>
    <t xml:space="preserve">INV-10797</t>
  </si>
  <si>
    <t xml:space="preserve">INV-10837</t>
  </si>
  <si>
    <t xml:space="preserve">INV-10839</t>
  </si>
  <si>
    <t xml:space="preserve">INV-10842</t>
  </si>
  <si>
    <t xml:space="preserve">INV-10825</t>
  </si>
  <si>
    <t xml:space="preserve">INV-10853</t>
  </si>
  <si>
    <t xml:space="preserve">INV-10887</t>
  </si>
  <si>
    <t xml:space="preserve">INV-10858</t>
  </si>
  <si>
    <t xml:space="preserve">INV-10861</t>
  </si>
  <si>
    <t xml:space="preserve">INV-10878</t>
  </si>
  <si>
    <t xml:space="preserve">INV-10884</t>
  </si>
  <si>
    <t xml:space="preserve">INV-10826</t>
  </si>
  <si>
    <t xml:space="preserve">INV-10828</t>
  </si>
  <si>
    <t xml:space="preserve">INV-10830</t>
  </si>
  <si>
    <t xml:space="preserve">INV-10857</t>
  </si>
  <si>
    <t xml:space="preserve">INV-10848</t>
  </si>
  <si>
    <t xml:space="preserve">INV-10852</t>
  </si>
  <si>
    <t xml:space="preserve">INV-10870</t>
  </si>
  <si>
    <t xml:space="preserve">INV-10791</t>
  </si>
  <si>
    <t xml:space="preserve">INV-10799</t>
  </si>
  <si>
    <t xml:space="preserve">INV-10810</t>
  </si>
  <si>
    <t xml:space="preserve">INV-10812</t>
  </si>
  <si>
    <t xml:space="preserve">INV-10816</t>
  </si>
  <si>
    <t xml:space="preserve">INV-10873</t>
  </si>
  <si>
    <t xml:space="preserve">INV-10880</t>
  </si>
  <si>
    <t xml:space="preserve">INV-10804</t>
  </si>
  <si>
    <t xml:space="preserve">INV-10832</t>
  </si>
  <si>
    <t xml:space="preserve">INV-10844</t>
  </si>
  <si>
    <t xml:space="preserve">INV-10798</t>
  </si>
  <si>
    <t xml:space="preserve">INV-10815</t>
  </si>
  <si>
    <t xml:space="preserve">INV-10821</t>
  </si>
  <si>
    <t xml:space="preserve">INV-10793</t>
  </si>
  <si>
    <t xml:space="preserve">INV-10890</t>
  </si>
  <si>
    <t xml:space="preserve">INV-10795</t>
  </si>
  <si>
    <t xml:space="preserve">INV-10811</t>
  </si>
  <si>
    <t xml:space="preserve">INV-10831</t>
  </si>
  <si>
    <t xml:space="preserve">INV-10854</t>
  </si>
  <si>
    <t xml:space="preserve">INV-10868</t>
  </si>
  <si>
    <t xml:space="preserve">INV-10871</t>
  </si>
  <si>
    <t xml:space="preserve">INV-10879</t>
  </si>
  <si>
    <t xml:space="preserve">INV-10789</t>
  </si>
  <si>
    <t xml:space="preserve">INV-10843</t>
  </si>
  <si>
    <t xml:space="preserve">INV-10856</t>
  </si>
  <si>
    <t xml:space="preserve">INV-10809</t>
  </si>
  <si>
    <t xml:space="preserve">INV-10790</t>
  </si>
  <si>
    <t xml:space="preserve">INV-10805</t>
  </si>
  <si>
    <t xml:space="preserve">INV-10834</t>
  </si>
  <si>
    <t xml:space="preserve">INV-10849</t>
  </si>
  <si>
    <t xml:space="preserve">INV-10850</t>
  </si>
  <si>
    <t xml:space="preserve">INV-10851</t>
  </si>
  <si>
    <t xml:space="preserve">INV-10864</t>
  </si>
  <si>
    <t xml:space="preserve">INV-10885</t>
  </si>
  <si>
    <t xml:space="preserve">INV-10827</t>
  </si>
  <si>
    <t xml:space="preserve">INV-10836</t>
  </si>
  <si>
    <t xml:space="preserve">INV-10845</t>
  </si>
  <si>
    <t xml:space="preserve">INV-10859</t>
  </si>
  <si>
    <t xml:space="preserve">INV-10888</t>
  </si>
  <si>
    <t xml:space="preserve">INV-10874</t>
  </si>
  <si>
    <t xml:space="preserve">INV-10892</t>
  </si>
  <si>
    <t xml:space="preserve">INV-10893</t>
  </si>
  <si>
    <t xml:space="preserve">INV-10814</t>
  </si>
  <si>
    <t xml:space="preserve">INV-10819</t>
  </si>
  <si>
    <t xml:space="preserve">INV-10820</t>
  </si>
  <si>
    <t xml:space="preserve">INV-10895</t>
  </si>
  <si>
    <t xml:space="preserve">INV-10965</t>
  </si>
  <si>
    <t xml:space="preserve">INV-10900</t>
  </si>
  <si>
    <t xml:space="preserve">INV-10934</t>
  </si>
  <si>
    <t xml:space="preserve">INV-10894</t>
  </si>
  <si>
    <t xml:space="preserve">INV-10906</t>
  </si>
  <si>
    <t xml:space="preserve">INV-10912</t>
  </si>
  <si>
    <t xml:space="preserve">INV-10941</t>
  </si>
  <si>
    <t xml:space="preserve">INV-10917</t>
  </si>
  <si>
    <t xml:space="preserve">INV-10963</t>
  </si>
  <si>
    <t xml:space="preserve">INV-10966</t>
  </si>
  <si>
    <t xml:space="preserve">INV-10918</t>
  </si>
  <si>
    <t xml:space="preserve">INV-10923</t>
  </si>
  <si>
    <t xml:space="preserve">INV-10942</t>
  </si>
  <si>
    <t xml:space="preserve">INV-10961</t>
  </si>
  <si>
    <t xml:space="preserve">INV-10904</t>
  </si>
  <si>
    <t xml:space="preserve">INV-10911</t>
  </si>
  <si>
    <t xml:space="preserve">INV-10928</t>
  </si>
  <si>
    <t xml:space="preserve">INV-10968</t>
  </si>
  <si>
    <t xml:space="preserve">INV-10919</t>
  </si>
  <si>
    <t xml:space="preserve">INV-10921</t>
  </si>
  <si>
    <t xml:space="preserve">INV-10946</t>
  </si>
  <si>
    <t xml:space="preserve">INV-10951</t>
  </si>
  <si>
    <t xml:space="preserve">INV-10954</t>
  </si>
  <si>
    <t xml:space="preserve">INV-10960</t>
  </si>
  <si>
    <t xml:space="preserve">INV-10943</t>
  </si>
  <si>
    <t xml:space="preserve">INV-10947</t>
  </si>
  <si>
    <t xml:space="preserve">INV-10977</t>
  </si>
  <si>
    <t xml:space="preserve">INV-10899</t>
  </si>
  <si>
    <t xml:space="preserve">INV-10909</t>
  </si>
  <si>
    <t xml:space="preserve">INV-10948</t>
  </si>
  <si>
    <t xml:space="preserve">INV-10956</t>
  </si>
  <si>
    <t xml:space="preserve">INV-10959</t>
  </si>
  <si>
    <t xml:space="preserve">INV-10964</t>
  </si>
  <si>
    <t xml:space="preserve">INV-10933</t>
  </si>
  <si>
    <t xml:space="preserve">INV-10940</t>
  </si>
  <si>
    <t xml:space="preserve">INV-10976</t>
  </si>
  <si>
    <t xml:space="preserve">INV-10903</t>
  </si>
  <si>
    <t xml:space="preserve">INV-10930</t>
  </si>
  <si>
    <t xml:space="preserve">INV-10958</t>
  </si>
  <si>
    <t xml:space="preserve">INV-10902</t>
  </si>
  <si>
    <t xml:space="preserve">INV-10926</t>
  </si>
  <si>
    <t xml:space="preserve">INV-10973</t>
  </si>
  <si>
    <t xml:space="preserve">INV-10907</t>
  </si>
  <si>
    <t xml:space="preserve">INV-10924</t>
  </si>
  <si>
    <t xml:space="preserve">INV-10939</t>
  </si>
  <si>
    <t xml:space="preserve">INV-10945</t>
  </si>
  <si>
    <t xml:space="preserve">INV-10950</t>
  </si>
  <si>
    <t xml:space="preserve">INV-10952</t>
  </si>
  <si>
    <t xml:space="preserve">INV-10953</t>
  </si>
  <si>
    <t xml:space="preserve">INV-10972</t>
  </si>
  <si>
    <t xml:space="preserve">INV-10914</t>
  </si>
  <si>
    <t xml:space="preserve">INV-10936</t>
  </si>
  <si>
    <t xml:space="preserve">INV-10971</t>
  </si>
  <si>
    <t xml:space="preserve">INV-10897</t>
  </si>
  <si>
    <t xml:space="preserve">INV-10931</t>
  </si>
  <si>
    <t xml:space="preserve">INV-10932</t>
  </si>
  <si>
    <t xml:space="preserve">INV-10949</t>
  </si>
  <si>
    <t xml:space="preserve">INV-10969</t>
  </si>
  <si>
    <t xml:space="preserve">INV-10913</t>
  </si>
  <si>
    <t xml:space="preserve">INV-10920</t>
  </si>
  <si>
    <t xml:space="preserve">INV-10962</t>
  </si>
  <si>
    <t xml:space="preserve">INV-10910</t>
  </si>
  <si>
    <t xml:space="preserve">INV-10938</t>
  </si>
  <si>
    <t xml:space="preserve">INV-10916</t>
  </si>
  <si>
    <t xml:space="preserve">INV-10915</t>
  </si>
  <si>
    <t xml:space="preserve">INV-10937</t>
  </si>
  <si>
    <t xml:space="preserve">INV-10944</t>
  </si>
  <si>
    <t xml:space="preserve">INV-10970</t>
  </si>
  <si>
    <t xml:space="preserve">INV-10975</t>
  </si>
  <si>
    <t xml:space="preserve">INV-10896</t>
  </si>
  <si>
    <t xml:space="preserve">INV-10957</t>
  </si>
  <si>
    <t xml:space="preserve">INV-10978</t>
  </si>
  <si>
    <t xml:space="preserve">INV-10898</t>
  </si>
  <si>
    <t xml:space="preserve">INV-10905</t>
  </si>
  <si>
    <t xml:space="preserve">INV-10927</t>
  </si>
  <si>
    <t xml:space="preserve">INV-10974</t>
  </si>
  <si>
    <t xml:space="preserve">INV-10922</t>
  </si>
  <si>
    <t xml:space="preserve">INV-10935</t>
  </si>
  <si>
    <t xml:space="preserve">INV-10955</t>
  </si>
  <si>
    <t xml:space="preserve">INV-10967</t>
  </si>
  <si>
    <t xml:space="preserve">INV-10901</t>
  </si>
  <si>
    <t xml:space="preserve">INV-10908</t>
  </si>
  <si>
    <t xml:space="preserve">INV-10925</t>
  </si>
  <si>
    <t xml:space="preserve">INV-10929</t>
  </si>
  <si>
    <t xml:space="preserve">INV-11011</t>
  </si>
  <si>
    <t xml:space="preserve">INV-11015</t>
  </si>
  <si>
    <t xml:space="preserve">INV-11008</t>
  </si>
  <si>
    <t xml:space="preserve">INV-11021</t>
  </si>
  <si>
    <t xml:space="preserve">INV-11047</t>
  </si>
  <si>
    <t xml:space="preserve">INV-10979</t>
  </si>
  <si>
    <t xml:space="preserve">INV-10998</t>
  </si>
  <si>
    <t xml:space="preserve">INV-11002</t>
  </si>
  <si>
    <t xml:space="preserve">INV-11052</t>
  </si>
  <si>
    <t xml:space="preserve">INV-11065</t>
  </si>
  <si>
    <t xml:space="preserve">INV-11005</t>
  </si>
  <si>
    <t xml:space="preserve">INV-11025</t>
  </si>
  <si>
    <t xml:space="preserve">INV-11044</t>
  </si>
  <si>
    <t xml:space="preserve">INV-11051</t>
  </si>
  <si>
    <t xml:space="preserve">INV-10987</t>
  </si>
  <si>
    <t xml:space="preserve">INV-11009</t>
  </si>
  <si>
    <t xml:space="preserve">INV-11013</t>
  </si>
  <si>
    <t xml:space="preserve">INV-11036</t>
  </si>
  <si>
    <t xml:space="preserve">INV-11048</t>
  </si>
  <si>
    <t xml:space="preserve">INV-11067</t>
  </si>
  <si>
    <t xml:space="preserve">INV-10980</t>
  </si>
  <si>
    <t xml:space="preserve">INV-10988</t>
  </si>
  <si>
    <t xml:space="preserve">INV-11006</t>
  </si>
  <si>
    <t xml:space="preserve">INV-11071</t>
  </si>
  <si>
    <t xml:space="preserve">INV-11003</t>
  </si>
  <si>
    <t xml:space="preserve">INV-11034</t>
  </si>
  <si>
    <t xml:space="preserve">INV-11037</t>
  </si>
  <si>
    <t xml:space="preserve">INV-11014</t>
  </si>
  <si>
    <t xml:space="preserve">INV-11042</t>
  </si>
  <si>
    <t xml:space="preserve">INV-11045</t>
  </si>
  <si>
    <t xml:space="preserve">INV-11061</t>
  </si>
  <si>
    <t xml:space="preserve">INV-11016</t>
  </si>
  <si>
    <t xml:space="preserve">INV-11029</t>
  </si>
  <si>
    <t xml:space="preserve">INV-11038</t>
  </si>
  <si>
    <t xml:space="preserve">INV-10990</t>
  </si>
  <si>
    <t xml:space="preserve">INV-11007</t>
  </si>
  <si>
    <t xml:space="preserve">INV-11027</t>
  </si>
  <si>
    <t xml:space="preserve">INV-10986</t>
  </si>
  <si>
    <t xml:space="preserve">INV-10997</t>
  </si>
  <si>
    <t xml:space="preserve">INV-11023</t>
  </si>
  <si>
    <t xml:space="preserve">INV-11041</t>
  </si>
  <si>
    <t xml:space="preserve">INV-11054</t>
  </si>
  <si>
    <t xml:space="preserve">INV-11063</t>
  </si>
  <si>
    <t xml:space="preserve">INV-10999</t>
  </si>
  <si>
    <t xml:space="preserve">INV-11020</t>
  </si>
  <si>
    <t xml:space="preserve">INV-11060</t>
  </si>
  <si>
    <t xml:space="preserve">INV-11017</t>
  </si>
  <si>
    <t xml:space="preserve">INV-11022</t>
  </si>
  <si>
    <t xml:space="preserve">INV-11049</t>
  </si>
  <si>
    <t xml:space="preserve">INV-10991</t>
  </si>
  <si>
    <t xml:space="preserve">INV-11019</t>
  </si>
  <si>
    <t xml:space="preserve">INV-11030</t>
  </si>
  <si>
    <t xml:space="preserve">INV-11064</t>
  </si>
  <si>
    <t xml:space="preserve">INV-10989</t>
  </si>
  <si>
    <t xml:space="preserve">INV-10996</t>
  </si>
  <si>
    <t xml:space="preserve">INV-11004</t>
  </si>
  <si>
    <t xml:space="preserve">INV-11028</t>
  </si>
  <si>
    <t xml:space="preserve">INV-11033</t>
  </si>
  <si>
    <t xml:space="preserve">INV-11035</t>
  </si>
  <si>
    <t xml:space="preserve">INV-11058</t>
  </si>
  <si>
    <t xml:space="preserve">INV-10984</t>
  </si>
  <si>
    <t xml:space="preserve">INV-10985</t>
  </si>
  <si>
    <t xml:space="preserve">INV-10993</t>
  </si>
  <si>
    <t xml:space="preserve">INV-11012</t>
  </si>
  <si>
    <t xml:space="preserve">INV-11039</t>
  </si>
  <si>
    <t xml:space="preserve">INV-11043</t>
  </si>
  <si>
    <t xml:space="preserve">INV-11040</t>
  </si>
  <si>
    <t xml:space="preserve">INV-11059</t>
  </si>
  <si>
    <t xml:space="preserve">INV-11070</t>
  </si>
  <si>
    <t xml:space="preserve">INV-11031</t>
  </si>
  <si>
    <t xml:space="preserve">INV-11057</t>
  </si>
  <si>
    <t xml:space="preserve">INV-11032</t>
  </si>
  <si>
    <t xml:space="preserve">INV-11072</t>
  </si>
  <si>
    <t xml:space="preserve">INV-10981</t>
  </si>
  <si>
    <t xml:space="preserve">INV-10983</t>
  </si>
  <si>
    <t xml:space="preserve">INV-11062</t>
  </si>
  <si>
    <t xml:space="preserve">INV-10992</t>
  </si>
  <si>
    <t xml:space="preserve">INV-11001</t>
  </si>
  <si>
    <t xml:space="preserve">INV-11024</t>
  </si>
  <si>
    <t xml:space="preserve">INV-11066</t>
  </si>
  <si>
    <t xml:space="preserve">INV-11073</t>
  </si>
  <si>
    <t xml:space="preserve">INV-11000</t>
  </si>
  <si>
    <t xml:space="preserve">INV-11018</t>
  </si>
  <si>
    <t xml:space="preserve">INV-11026</t>
  </si>
  <si>
    <t xml:space="preserve">INV-11055</t>
  </si>
  <si>
    <t xml:space="preserve">INV-11046</t>
  </si>
  <si>
    <t xml:space="preserve">INV-11056</t>
  </si>
  <si>
    <t xml:space="preserve">INV-11068</t>
  </si>
  <si>
    <t xml:space="preserve">INV-11074</t>
  </si>
  <si>
    <t xml:space="preserve">INV-10995</t>
  </si>
  <si>
    <t xml:space="preserve">INV-11050</t>
  </si>
  <si>
    <t xml:space="preserve">INV-10982</t>
  </si>
  <si>
    <t xml:space="preserve">INV-10994</t>
  </si>
  <si>
    <t xml:space="preserve">INV-11010</t>
  </si>
  <si>
    <t xml:space="preserve">INV-11053</t>
  </si>
  <si>
    <t xml:space="preserve">INV-11069</t>
  </si>
  <si>
    <t xml:space="preserve">INV-11115</t>
  </si>
  <si>
    <t xml:space="preserve">INV-11155</t>
  </si>
  <si>
    <t xml:space="preserve">INV-11075</t>
  </si>
  <si>
    <t xml:space="preserve">INV-11109</t>
  </si>
  <si>
    <t xml:space="preserve">INV-11129</t>
  </si>
  <si>
    <t xml:space="preserve">INV-11116</t>
  </si>
  <si>
    <t xml:space="preserve">INV-11126</t>
  </si>
  <si>
    <t xml:space="preserve">INV-11134</t>
  </si>
  <si>
    <t xml:space="preserve">INV-11146</t>
  </si>
  <si>
    <t xml:space="preserve">INV-11125</t>
  </si>
  <si>
    <t xml:space="preserve">INV-11127</t>
  </si>
  <si>
    <t xml:space="preserve">INV-11145</t>
  </si>
  <si>
    <t xml:space="preserve">INV-11160</t>
  </si>
  <si>
    <t xml:space="preserve">INV-11165</t>
  </si>
  <si>
    <t xml:space="preserve">INV-11092</t>
  </si>
  <si>
    <t xml:space="preserve">INV-11099</t>
  </si>
  <si>
    <t xml:space="preserve">INV-11162</t>
  </si>
  <si>
    <t xml:space="preserve">INV-11105</t>
  </si>
  <si>
    <t xml:space="preserve">INV-11135</t>
  </si>
  <si>
    <t xml:space="preserve">INV-11104</t>
  </si>
  <si>
    <t xml:space="preserve">INV-11108</t>
  </si>
  <si>
    <t xml:space="preserve">INV-11149</t>
  </si>
  <si>
    <t xml:space="preserve">INV-11121</t>
  </si>
  <si>
    <t xml:space="preserve">INV-11168</t>
  </si>
  <si>
    <t xml:space="preserve">INV-11076</t>
  </si>
  <si>
    <t xml:space="preserve">INV-11085</t>
  </si>
  <si>
    <t xml:space="preserve">INV-11088</t>
  </si>
  <si>
    <t xml:space="preserve">INV-11100</t>
  </si>
  <si>
    <t xml:space="preserve">INV-11101</t>
  </si>
  <si>
    <t xml:space="preserve">INV-11103</t>
  </si>
  <si>
    <t xml:space="preserve">INV-11141</t>
  </si>
  <si>
    <t xml:space="preserve">INV-11102</t>
  </si>
  <si>
    <t xml:space="preserve">INV-11110</t>
  </si>
  <si>
    <t xml:space="preserve">INV-11118</t>
  </si>
  <si>
    <t xml:space="preserve">INV-11140</t>
  </si>
  <si>
    <t xml:space="preserve">INV-11078</t>
  </si>
  <si>
    <t xml:space="preserve">INV-11089</t>
  </si>
  <si>
    <t xml:space="preserve">INV-11111</t>
  </si>
  <si>
    <t xml:space="preserve">INV-11112</t>
  </si>
  <si>
    <t xml:space="preserve">INV-11154</t>
  </si>
  <si>
    <t xml:space="preserve">INV-11156</t>
  </si>
  <si>
    <t xml:space="preserve">INV-11106</t>
  </si>
  <si>
    <t xml:space="preserve">INV-11152</t>
  </si>
  <si>
    <t xml:space="preserve">INV-11159</t>
  </si>
  <si>
    <t xml:space="preserve">INV-11093</t>
  </si>
  <si>
    <t xml:space="preserve">INV-11124</t>
  </si>
  <si>
    <t xml:space="preserve">INV-11139</t>
  </si>
  <si>
    <t xml:space="preserve">INV-11086</t>
  </si>
  <si>
    <t xml:space="preserve">INV-11107</t>
  </si>
  <si>
    <t xml:space="preserve">INV-11082</t>
  </si>
  <si>
    <t xml:space="preserve">INV-11084</t>
  </si>
  <si>
    <t xml:space="preserve">INV-11122</t>
  </si>
  <si>
    <t xml:space="preserve">INV-11143</t>
  </si>
  <si>
    <t xml:space="preserve">INV-11161</t>
  </si>
  <si>
    <t xml:space="preserve">INV-11167</t>
  </si>
  <si>
    <t xml:space="preserve">INV-11079</t>
  </si>
  <si>
    <t xml:space="preserve">INV-11097</t>
  </si>
  <si>
    <t xml:space="preserve">INV-11123</t>
  </si>
  <si>
    <t xml:space="preserve">INV-11166</t>
  </si>
  <si>
    <t xml:space="preserve">INV-11133</t>
  </si>
  <si>
    <t xml:space="preserve">INV-11137</t>
  </si>
  <si>
    <t xml:space="preserve">INV-11148</t>
  </si>
  <si>
    <t xml:space="preserve">INV-11077</t>
  </si>
  <si>
    <t xml:space="preserve">INV-11164</t>
  </si>
  <si>
    <t xml:space="preserve">INV-11081</t>
  </si>
  <si>
    <t xml:space="preserve">INV-11119</t>
  </si>
  <si>
    <t xml:space="preserve">INV-11128</t>
  </si>
  <si>
    <t xml:space="preserve">INV-11131</t>
  </si>
  <si>
    <t xml:space="preserve">INV-11147</t>
  </si>
  <si>
    <t xml:space="preserve">INV-11153</t>
  </si>
  <si>
    <t xml:space="preserve">INV-11120</t>
  </si>
  <si>
    <t xml:space="preserve">INV-11157</t>
  </si>
  <si>
    <t xml:space="preserve">INV-11095</t>
  </si>
  <si>
    <t xml:space="preserve">INV-11098</t>
  </si>
  <si>
    <t xml:space="preserve">INV-11114</t>
  </si>
  <si>
    <t xml:space="preserve">INV-11132</t>
  </si>
  <si>
    <t xml:space="preserve">INV-11142</t>
  </si>
  <si>
    <t xml:space="preserve">INV-11158</t>
  </si>
  <si>
    <t xml:space="preserve">INV-11083</t>
  </si>
  <si>
    <t xml:space="preserve">INV-11087</t>
  </si>
  <si>
    <t xml:space="preserve">INV-11091</t>
  </si>
  <si>
    <t xml:space="preserve">INV-11096</t>
  </si>
  <si>
    <t xml:space="preserve">INV-11090</t>
  </si>
  <si>
    <t xml:space="preserve">INV-11150</t>
  </si>
  <si>
    <t xml:space="preserve">INV-11151</t>
  </si>
  <si>
    <t xml:space="preserve">INV-11094</t>
  </si>
  <si>
    <t xml:space="preserve">INV-11117</t>
  </si>
  <si>
    <t xml:space="preserve">INV-11130</t>
  </si>
  <si>
    <t xml:space="preserve">INV-11136</t>
  </si>
  <si>
    <t xml:space="preserve">INV-11080</t>
  </si>
  <si>
    <t xml:space="preserve">INV-11163</t>
  </si>
  <si>
    <t xml:space="preserve">INV-11113</t>
  </si>
  <si>
    <t xml:space="preserve">INV-11138</t>
  </si>
  <si>
    <t xml:space="preserve">INV-11144</t>
  </si>
  <si>
    <t xml:space="preserve">Drill 1A - Month x Product sales with SUMIFS (weeks 1-2)</t>
  </si>
  <si>
    <t xml:space="preserve">Source: Transactions tab. Amounts in $.</t>
  </si>
  <si>
    <t xml:space="preserve">Task: fill B6:M10 with ONE formula typed in B6 and copied across and down (Ctrl+R, Ctrl+D). Use SUMIFS on Transactions with the product in column A and the month start date in row 5: date &gt;= month start AND date &lt; EDATE(month start,1). Then fill the totals in column N and row 11 with SUM.</t>
  </si>
  <si>
    <t xml:space="preserve">Product \ Month</t>
  </si>
  <si>
    <t xml:space="preserve">Total</t>
  </si>
  <si>
    <t xml:space="preserve">CHECK</t>
  </si>
  <si>
    <t xml:space="preserve">Check</t>
  </si>
  <si>
    <t xml:space="preserve">Your cell</t>
  </si>
  <si>
    <t xml:space="preserve">Control total</t>
  </si>
  <si>
    <t xml:space="preserve">Result</t>
  </si>
  <si>
    <t xml:space="preserve">Grand total (N11)</t>
  </si>
  <si>
    <t xml:space="preserve">P-100, Jan-25 (B6)</t>
  </si>
  <si>
    <t xml:space="preserve">P-300, Jun-25 (G8)</t>
  </si>
  <si>
    <t xml:space="preserve">P-500, Dec-25 (M10)</t>
  </si>
  <si>
    <t xml:space="preserve">P-200 full year (N7)</t>
  </si>
  <si>
    <t xml:space="preserve">Sep-25 all products (J11)</t>
  </si>
  <si>
    <t xml:space="preserve">Grid total = source total</t>
  </si>
  <si>
    <t xml:space="preserve">Control totals: computed from the Transactions data when this workbook was generated.</t>
  </si>
  <si>
    <t xml:space="preserve">Pass criteria: all checks PASS; B6:M10 hold one identical formula (select B6:M10, F5 &gt; Special &gt; Row differences finds nothing); rebuilt from blank in under 30 minutes.</t>
  </si>
  <si>
    <t xml:space="preserve">Drills 1B-1D - Lookups, IFNA and mixed references (weeks 2-3)</t>
  </si>
  <si>
    <t xml:space="preserve">Build every answer with formulas, never typed values.</t>
  </si>
  <si>
    <t xml:space="preserve">1B. Category column</t>
  </si>
  <si>
    <t xml:space="preserve">On the Transactions tab, fill column I (Category) with XLOOKUP from the Lookups tab: =XLOOKUP([@Product], Lookups!$A$5:$A$9, Lookups!$C$5:$C$9). Because it is an Excel Table, one formula fills the whole column.</t>
  </si>
  <si>
    <t xml:space="preserve">Lines (yours)</t>
  </si>
  <si>
    <t xml:space="preserve">Control</t>
  </si>
  <si>
    <t xml:space="preserve">Sales (yours)</t>
  </si>
  <si>
    <t xml:space="preserve">Column E: write a SUMIFS on the Category column yourself. Columns B-D count your XLOOKUP results automatically.</t>
  </si>
  <si>
    <t xml:space="preserve">1C. IFNA: codes that may not exist</t>
  </si>
  <si>
    <t xml:space="preserve">Return the product name for each code. If the code is not in the master list, show exactly: Check: not found. Use IFNA (or XLOOKUP's if_not_found argument), NOT IFERROR, so other errors still show.</t>
  </si>
  <si>
    <t xml:space="preserve">Code to look up</t>
  </si>
  <si>
    <t xml:space="preserve">Your note</t>
  </si>
  <si>
    <t xml:space="preserve">P-600</t>
  </si>
  <si>
    <t xml:space="preserve">p-200 </t>
  </si>
  <si>
    <t xml:space="preserve">P-10O</t>
  </si>
  <si>
    <t xml:space="preserve">Yours</t>
  </si>
  <si>
    <t xml:space="preserve">Count of 'Check: not found'</t>
  </si>
  <si>
    <t xml:space="preserve">Think: which not-found codes are genuinely missing, and which are dirty data (spaces, letter O for zero)? Write your answer in F16.</t>
  </si>
  <si>
    <t xml:space="preserve">1D. Mixed references ($) - price x volume grid</t>
  </si>
  <si>
    <t xml:space="preserve">Fill C33:H37 with ONE formula typed in C33 and copied to the whole block: revenue = unit price (column B) x units (row 32) x (1 - discount in C31). You will need $B33, C$32 and $C$31. If you copy it and any cell is wrong, the $ are in the wrong place.</t>
  </si>
  <si>
    <t xml:space="preserve">Price \ Units</t>
  </si>
  <si>
    <t xml:space="preserve">Grid total</t>
  </si>
  <si>
    <t xml:space="preserve">Bottom-right (H37)</t>
  </si>
  <si>
    <t xml:space="preserve">Grid total at 10% discount</t>
  </si>
  <si>
    <t xml:space="preserve">Last check: change C31 to 10%, type the new grid total into B42 as =SUM(C33:H37), and see PASS. Then set C31 back to 5%. This is why inputs live in their own cell.</t>
  </si>
  <si>
    <t xml:space="preserve">ACME TRADING LTD - GL DETAIL EXPORT - FY2025</t>
  </si>
  <si>
    <t xml:space="preserve">Run by: SYSTEM  Printed: 06/01/2026 07:14</t>
  </si>
  <si>
    <t xml:space="preserve">Posting Date</t>
  </si>
  <si>
    <t xml:space="preserve">Doc No</t>
  </si>
  <si>
    <t xml:space="preserve">Vendor Code</t>
  </si>
  <si>
    <t xml:space="preserve">Vendor</t>
  </si>
  <si>
    <t xml:space="preserve">Cost Centre</t>
  </si>
  <si>
    <t xml:space="preserve">GL Account</t>
  </si>
  <si>
    <t xml:space="preserve">Description</t>
  </si>
  <si>
    <t xml:space="preserve">01/01/2025</t>
  </si>
  <si>
    <t xml:space="preserve">JE500023</t>
  </si>
  <si>
    <t xml:space="preserve">Office World Ltd   </t>
  </si>
  <si>
    <t xml:space="preserve">hr </t>
  </si>
  <si>
    <t xml:space="preserve">6500 Recruitment</t>
  </si>
  <si>
    <t xml:space="preserve">Recruitment Jan</t>
  </si>
  <si>
    <t xml:space="preserve">2025-01-01</t>
  </si>
  <si>
    <t xml:space="preserve">JE500035</t>
  </si>
  <si>
    <t xml:space="preserve">01011</t>
  </si>
  <si>
    <t xml:space="preserve">FastFreight</t>
  </si>
  <si>
    <t xml:space="preserve">it</t>
  </si>
  <si>
    <t xml:space="preserve">6410 Security</t>
  </si>
  <si>
    <t xml:space="preserve">Security Jan</t>
  </si>
  <si>
    <t xml:space="preserve">982.10</t>
  </si>
  <si>
    <t xml:space="preserve">1 Jan 2025</t>
  </si>
  <si>
    <t xml:space="preserve">JE500038</t>
  </si>
  <si>
    <t xml:space="preserve">00456</t>
  </si>
  <si>
    <t xml:space="preserve">CloudHost Inc</t>
  </si>
  <si>
    <t xml:space="preserve">Sales &amp; Mktg</t>
  </si>
  <si>
    <t xml:space="preserve">6210 Travel</t>
  </si>
  <si>
    <t xml:space="preserve">Travel Jan</t>
  </si>
  <si>
    <t xml:space="preserve">$4,434.54</t>
  </si>
  <si>
    <t xml:space="preserve">JE500016</t>
  </si>
  <si>
    <t xml:space="preserve">04040</t>
  </si>
  <si>
    <t xml:space="preserve">SecureNet</t>
  </si>
  <si>
    <t xml:space="preserve">6400 Cloud hosting</t>
  </si>
  <si>
    <t xml:space="preserve">Cloud hosting Jan</t>
  </si>
  <si>
    <t xml:space="preserve"> 377.55 </t>
  </si>
  <si>
    <t xml:space="preserve">02.01.2025</t>
  </si>
  <si>
    <t xml:space="preserve">JE500029</t>
  </si>
  <si>
    <t xml:space="preserve">I.T.</t>
  </si>
  <si>
    <t xml:space="preserve">502.5</t>
  </si>
  <si>
    <t xml:space="preserve">03/01/2025</t>
  </si>
  <si>
    <t xml:space="preserve">JE500003</t>
  </si>
  <si>
    <t xml:space="preserve">Ops</t>
  </si>
  <si>
    <t xml:space="preserve">6310 Utilities</t>
  </si>
  <si>
    <t xml:space="preserve">Utilities Jan</t>
  </si>
  <si>
    <t xml:space="preserve">5,261.88</t>
  </si>
  <si>
    <t xml:space="preserve">2025-01-03</t>
  </si>
  <si>
    <t xml:space="preserve">JE500017</t>
  </si>
  <si>
    <t xml:space="preserve">06006</t>
  </si>
  <si>
    <t xml:space="preserve">Legal Partners LLP</t>
  </si>
  <si>
    <t xml:space="preserve">3 Jan 2025</t>
  </si>
  <si>
    <t xml:space="preserve">JE500051</t>
  </si>
  <si>
    <t xml:space="preserve">Office World Ltd</t>
  </si>
  <si>
    <t xml:space="preserve">1,354.60</t>
  </si>
  <si>
    <t xml:space="preserve">JE500010</t>
  </si>
  <si>
    <t xml:space="preserve">IT</t>
  </si>
  <si>
    <t xml:space="preserve">$3,845.06</t>
  </si>
  <si>
    <t xml:space="preserve">05.01.2025</t>
  </si>
  <si>
    <t xml:space="preserve">JE500040</t>
  </si>
  <si>
    <t xml:space="preserve">CloudHost Inc </t>
  </si>
  <si>
    <t xml:space="preserve"> 5,028.87 </t>
  </si>
  <si>
    <t xml:space="preserve">06/01/2025</t>
  </si>
  <si>
    <t xml:space="preserve">JE500030</t>
  </si>
  <si>
    <t xml:space="preserve">03003</t>
  </si>
  <si>
    <t xml:space="preserve">Printwise</t>
  </si>
  <si>
    <t xml:space="preserve">SALES</t>
  </si>
  <si>
    <t xml:space="preserve">6200 Advertising</t>
  </si>
  <si>
    <t xml:space="preserve">Advertising Jan</t>
  </si>
  <si>
    <t xml:space="preserve">8363.38</t>
  </si>
  <si>
    <t xml:space="preserve">2025-01-07</t>
  </si>
  <si>
    <t xml:space="preserve">JE500020</t>
  </si>
  <si>
    <t xml:space="preserve">SecureNet  </t>
  </si>
  <si>
    <t xml:space="preserve">3,254.96</t>
  </si>
  <si>
    <t xml:space="preserve">7 Jan 2025</t>
  </si>
  <si>
    <t xml:space="preserve">JE500033</t>
  </si>
  <si>
    <t xml:space="preserve">05555</t>
  </si>
  <si>
    <t xml:space="preserve">Travel Desk</t>
  </si>
  <si>
    <t xml:space="preserve">JE500021</t>
  </si>
  <si>
    <t xml:space="preserve">02020</t>
  </si>
  <si>
    <t xml:space="preserve">TalentFind Agency</t>
  </si>
  <si>
    <t xml:space="preserve">finance </t>
  </si>
  <si>
    <t xml:space="preserve">6110 Bank charges</t>
  </si>
  <si>
    <t xml:space="preserve">Bank charges Jan</t>
  </si>
  <si>
    <t xml:space="preserve">3,807.02</t>
  </si>
  <si>
    <t xml:space="preserve">08.01.2025</t>
  </si>
  <si>
    <t xml:space="preserve">JE500041</t>
  </si>
  <si>
    <t xml:space="preserve">$4,456.19</t>
  </si>
  <si>
    <t xml:space="preserve">09/01/2025</t>
  </si>
  <si>
    <t xml:space="preserve">JE500005</t>
  </si>
  <si>
    <t xml:space="preserve"> 4,444.48 </t>
  </si>
  <si>
    <t xml:space="preserve">2025-01-09</t>
  </si>
  <si>
    <t xml:space="preserve">JE500007</t>
  </si>
  <si>
    <t xml:space="preserve">Fin.</t>
  </si>
  <si>
    <t xml:space="preserve">6100 Audit fees</t>
  </si>
  <si>
    <t xml:space="preserve">Audit fees Jan</t>
  </si>
  <si>
    <t xml:space="preserve">1475.29</t>
  </si>
  <si>
    <t xml:space="preserve">9 Jan 2025</t>
  </si>
  <si>
    <t xml:space="preserve">JE500012</t>
  </si>
  <si>
    <t xml:space="preserve">00789</t>
  </si>
  <si>
    <t xml:space="preserve">City Power</t>
  </si>
  <si>
    <t xml:space="preserve">Operations</t>
  </si>
  <si>
    <t xml:space="preserve">6300 Freight</t>
  </si>
  <si>
    <t xml:space="preserve">Freight Jan</t>
  </si>
  <si>
    <t xml:space="preserve">3,466.46</t>
  </si>
  <si>
    <t xml:space="preserve">JE500002</t>
  </si>
  <si>
    <t xml:space="preserve">FastFreight </t>
  </si>
  <si>
    <t xml:space="preserve">10/01/2025</t>
  </si>
  <si>
    <t xml:space="preserve">JE500018</t>
  </si>
  <si>
    <t xml:space="preserve">Sales</t>
  </si>
  <si>
    <t xml:space="preserve">$5,686.79</t>
  </si>
  <si>
    <t xml:space="preserve">2025-01-11</t>
  </si>
  <si>
    <t xml:space="preserve">JE500043</t>
  </si>
  <si>
    <t xml:space="preserve"> 1,630.73 </t>
  </si>
  <si>
    <t xml:space="preserve">12 Jan 2025</t>
  </si>
  <si>
    <t xml:space="preserve">JE500008</t>
  </si>
  <si>
    <t xml:space="preserve">Travel Desk  </t>
  </si>
  <si>
    <t xml:space="preserve">Human Resources</t>
  </si>
  <si>
    <t xml:space="preserve">3503.06</t>
  </si>
  <si>
    <t xml:space="preserve">JE500032</t>
  </si>
  <si>
    <t xml:space="preserve">HR</t>
  </si>
  <si>
    <t xml:space="preserve">2,876.00</t>
  </si>
  <si>
    <t xml:space="preserve">13.01.2025</t>
  </si>
  <si>
    <t xml:space="preserve">JE500013</t>
  </si>
  <si>
    <t xml:space="preserve">6510 Training</t>
  </si>
  <si>
    <t xml:space="preserve">Training Jan</t>
  </si>
  <si>
    <t xml:space="preserve">16/01/2025</t>
  </si>
  <si>
    <t xml:space="preserve">JE500050</t>
  </si>
  <si>
    <t xml:space="preserve">3,476.98</t>
  </si>
  <si>
    <t xml:space="preserve">2025-01-17</t>
  </si>
  <si>
    <t xml:space="preserve">JE500001</t>
  </si>
  <si>
    <t xml:space="preserve">Finance</t>
  </si>
  <si>
    <t xml:space="preserve">$1,432.45</t>
  </si>
  <si>
    <t xml:space="preserve">18 Jan 2025</t>
  </si>
  <si>
    <t xml:space="preserve">JE500024</t>
  </si>
  <si>
    <t xml:space="preserve"> 1,491.87 </t>
  </si>
  <si>
    <t xml:space="preserve">JE500026</t>
  </si>
  <si>
    <t xml:space="preserve">5345.8</t>
  </si>
  <si>
    <t xml:space="preserve">18.01.2025</t>
  </si>
  <si>
    <t xml:space="preserve">JE500027</t>
  </si>
  <si>
    <t xml:space="preserve">696.91</t>
  </si>
  <si>
    <t xml:space="preserve">18/01/2025</t>
  </si>
  <si>
    <t xml:space="preserve">JE500042</t>
  </si>
  <si>
    <t xml:space="preserve">FINANCE</t>
  </si>
  <si>
    <t xml:space="preserve">2025-01-18</t>
  </si>
  <si>
    <t xml:space="preserve">JE500045</t>
  </si>
  <si>
    <t xml:space="preserve">00123</t>
  </si>
  <si>
    <t xml:space="preserve">(339.13)</t>
  </si>
  <si>
    <t xml:space="preserve">JE500049</t>
  </si>
  <si>
    <t xml:space="preserve">$6,505.89</t>
  </si>
  <si>
    <t xml:space="preserve">JE500019</t>
  </si>
  <si>
    <t xml:space="preserve">FastFreight  </t>
  </si>
  <si>
    <t xml:space="preserve"> 3,254.79 </t>
  </si>
  <si>
    <t xml:space="preserve">20.01.2025</t>
  </si>
  <si>
    <t xml:space="preserve">JE500011</t>
  </si>
  <si>
    <t xml:space="preserve">1685.98</t>
  </si>
  <si>
    <t xml:space="preserve">20/01/2025</t>
  </si>
  <si>
    <t xml:space="preserve">JE500022</t>
  </si>
  <si>
    <t xml:space="preserve">1,508.91</t>
  </si>
  <si>
    <t xml:space="preserve">2025-01-20</t>
  </si>
  <si>
    <t xml:space="preserve">JE500044</t>
  </si>
  <si>
    <t xml:space="preserve">Sales </t>
  </si>
  <si>
    <t xml:space="preserve">21 Jan 2025</t>
  </si>
  <si>
    <t xml:space="preserve">JE500036</t>
  </si>
  <si>
    <t xml:space="preserve">4,535.83</t>
  </si>
  <si>
    <t xml:space="preserve">JE500037</t>
  </si>
  <si>
    <t xml:space="preserve">$5,055.97</t>
  </si>
  <si>
    <t xml:space="preserve">23.01.2025</t>
  </si>
  <si>
    <t xml:space="preserve">JE500028</t>
  </si>
  <si>
    <t xml:space="preserve"> 2,037.88 </t>
  </si>
  <si>
    <t xml:space="preserve">23/01/2025</t>
  </si>
  <si>
    <t xml:space="preserve">JE500048</t>
  </si>
  <si>
    <t xml:space="preserve">1774.02</t>
  </si>
  <si>
    <t xml:space="preserve">2025-01-24</t>
  </si>
  <si>
    <t xml:space="preserve">JE500009</t>
  </si>
  <si>
    <t xml:space="preserve">(121.99)</t>
  </si>
  <si>
    <t xml:space="preserve">24 Jan 2025</t>
  </si>
  <si>
    <t xml:space="preserve">JE500025</t>
  </si>
  <si>
    <t xml:space="preserve">JE500004</t>
  </si>
  <si>
    <t xml:space="preserve">5,850.29</t>
  </si>
  <si>
    <t xml:space="preserve">25.01.2025</t>
  </si>
  <si>
    <t xml:space="preserve">JE500014</t>
  </si>
  <si>
    <t xml:space="preserve">$4,714.45</t>
  </si>
  <si>
    <t xml:space="preserve">25/01/2025</t>
  </si>
  <si>
    <t xml:space="preserve">JE500031</t>
  </si>
  <si>
    <t xml:space="preserve">Printwise </t>
  </si>
  <si>
    <t xml:space="preserve"> 5,929.47 </t>
  </si>
  <si>
    <t xml:space="preserve">2025-01-25</t>
  </si>
  <si>
    <t xml:space="preserve">JE500034</t>
  </si>
  <si>
    <t xml:space="preserve">OPERATIONS</t>
  </si>
  <si>
    <t xml:space="preserve">2289.51</t>
  </si>
  <si>
    <t xml:space="preserve">25 Jan 2025</t>
  </si>
  <si>
    <t xml:space="preserve">JE500046</t>
  </si>
  <si>
    <t xml:space="preserve">8,007.47</t>
  </si>
  <si>
    <t xml:space="preserve">JE500047</t>
  </si>
  <si>
    <t xml:space="preserve">26.01.2025</t>
  </si>
  <si>
    <t xml:space="preserve">JE500015</t>
  </si>
  <si>
    <t xml:space="preserve">6,897.57</t>
  </si>
  <si>
    <t xml:space="preserve">26/01/2025</t>
  </si>
  <si>
    <t xml:space="preserve">JE500039</t>
  </si>
  <si>
    <t xml:space="preserve">$1,864.22</t>
  </si>
  <si>
    <t xml:space="preserve">2025-01-27</t>
  </si>
  <si>
    <t xml:space="preserve">JE500006</t>
  </si>
  <si>
    <t xml:space="preserve"> 2,630.98 </t>
  </si>
  <si>
    <t xml:space="preserve">1 Feb 2025</t>
  </si>
  <si>
    <t xml:space="preserve">JE500082</t>
  </si>
  <si>
    <t xml:space="preserve">Freight Feb</t>
  </si>
  <si>
    <t xml:space="preserve">5209.98</t>
  </si>
  <si>
    <t xml:space="preserve">JE500087</t>
  </si>
  <si>
    <t xml:space="preserve">Travel Feb</t>
  </si>
  <si>
    <t xml:space="preserve">2,534.17</t>
  </si>
  <si>
    <t xml:space="preserve">01.02.2025</t>
  </si>
  <si>
    <t xml:space="preserve">JE500090</t>
  </si>
  <si>
    <t xml:space="preserve">02/02/2025</t>
  </si>
  <si>
    <t xml:space="preserve">JE500072</t>
  </si>
  <si>
    <t xml:space="preserve">Office World Ltd  </t>
  </si>
  <si>
    <t xml:space="preserve">5,402.66</t>
  </si>
  <si>
    <t xml:space="preserve">2025-02-02</t>
  </si>
  <si>
    <t xml:space="preserve">JE500084</t>
  </si>
  <si>
    <t xml:space="preserve">$6,307.41</t>
  </si>
  <si>
    <t xml:space="preserve">3 Feb 2025</t>
  </si>
  <si>
    <t xml:space="preserve">JE500052</t>
  </si>
  <si>
    <t xml:space="preserve">Cloud hosting Feb</t>
  </si>
  <si>
    <t xml:space="preserve"> 1,912.54 </t>
  </si>
  <si>
    <t xml:space="preserve">JE500060</t>
  </si>
  <si>
    <t xml:space="preserve">6768.33</t>
  </si>
  <si>
    <t xml:space="preserve">03.02.2025</t>
  </si>
  <si>
    <t xml:space="preserve">JE500088</t>
  </si>
  <si>
    <t xml:space="preserve">Bank charges Feb</t>
  </si>
  <si>
    <t xml:space="preserve">3,788.36</t>
  </si>
  <si>
    <t xml:space="preserve">04/02/2025</t>
  </si>
  <si>
    <t xml:space="preserve">JE500086</t>
  </si>
  <si>
    <t xml:space="preserve">Advertising Feb</t>
  </si>
  <si>
    <t xml:space="preserve">2025-02-05</t>
  </si>
  <si>
    <t xml:space="preserve">JE500054</t>
  </si>
  <si>
    <t xml:space="preserve">5,400.19</t>
  </si>
  <si>
    <t xml:space="preserve">5 Feb 2025</t>
  </si>
  <si>
    <t xml:space="preserve">JE500059</t>
  </si>
  <si>
    <t xml:space="preserve">$1,299.60</t>
  </si>
  <si>
    <t xml:space="preserve">JE500077</t>
  </si>
  <si>
    <t xml:space="preserve">SecureNet </t>
  </si>
  <si>
    <t xml:space="preserve"> 279.76 </t>
  </si>
  <si>
    <t xml:space="preserve">05.02.2025</t>
  </si>
  <si>
    <t xml:space="preserve">JE500078</t>
  </si>
  <si>
    <t xml:space="preserve">Audit fees Feb</t>
  </si>
  <si>
    <t xml:space="preserve">197.40-</t>
  </si>
  <si>
    <t xml:space="preserve">05/02/2025</t>
  </si>
  <si>
    <t xml:space="preserve">JE500079</t>
  </si>
  <si>
    <t xml:space="preserve">Security Feb</t>
  </si>
  <si>
    <t xml:space="preserve">5,068.40</t>
  </si>
  <si>
    <t xml:space="preserve">2025-02-06</t>
  </si>
  <si>
    <t xml:space="preserve">JE500066</t>
  </si>
  <si>
    <t xml:space="preserve">Legal Partners LLP  </t>
  </si>
  <si>
    <t xml:space="preserve">7 Feb 2025</t>
  </si>
  <si>
    <t xml:space="preserve">JE500062</t>
  </si>
  <si>
    <t xml:space="preserve">3,294.30</t>
  </si>
  <si>
    <t xml:space="preserve">JE500095</t>
  </si>
  <si>
    <t xml:space="preserve">Utilities Feb</t>
  </si>
  <si>
    <t xml:space="preserve">$1,994.55</t>
  </si>
  <si>
    <t xml:space="preserve">07.02.2025</t>
  </si>
  <si>
    <t xml:space="preserve">JE500096</t>
  </si>
  <si>
    <t xml:space="preserve"> 3,748.42 </t>
  </si>
  <si>
    <t xml:space="preserve">08/02/2025</t>
  </si>
  <si>
    <t xml:space="preserve">JE500063</t>
  </si>
  <si>
    <t xml:space="preserve">3496.49</t>
  </si>
  <si>
    <t xml:space="preserve">2025-02-08</t>
  </si>
  <si>
    <t xml:space="preserve">JE500064</t>
  </si>
  <si>
    <t xml:space="preserve">458.80</t>
  </si>
  <si>
    <t xml:space="preserve">8 Feb 2025</t>
  </si>
  <si>
    <t xml:space="preserve">JE500069</t>
  </si>
  <si>
    <t xml:space="preserve">JE500073</t>
  </si>
  <si>
    <t xml:space="preserve">4,527.91</t>
  </si>
  <si>
    <t xml:space="preserve">09.02.2025</t>
  </si>
  <si>
    <t xml:space="preserve">JE500080</t>
  </si>
  <si>
    <t xml:space="preserve">$3,152.12</t>
  </si>
  <si>
    <t xml:space="preserve">11/02/2025</t>
  </si>
  <si>
    <t xml:space="preserve">JE500081</t>
  </si>
  <si>
    <t xml:space="preserve"> 5,412.41 </t>
  </si>
  <si>
    <t xml:space="preserve">2025-02-11</t>
  </si>
  <si>
    <t xml:space="preserve">JE500085</t>
  </si>
  <si>
    <t xml:space="preserve">1180.68</t>
  </si>
  <si>
    <t xml:space="preserve">12 Feb 2025</t>
  </si>
  <si>
    <t xml:space="preserve">JE500057</t>
  </si>
  <si>
    <t xml:space="preserve">3,999.82</t>
  </si>
  <si>
    <t xml:space="preserve">JE500067</t>
  </si>
  <si>
    <t xml:space="preserve">12.02.2025</t>
  </si>
  <si>
    <t xml:space="preserve">JE500097</t>
  </si>
  <si>
    <t xml:space="preserve">Training Feb</t>
  </si>
  <si>
    <t xml:space="preserve">706.01</t>
  </si>
  <si>
    <t xml:space="preserve">13/02/2025</t>
  </si>
  <si>
    <t xml:space="preserve">JE500056</t>
  </si>
  <si>
    <t xml:space="preserve">$3,752.45</t>
  </si>
  <si>
    <t xml:space="preserve">2025-02-14</t>
  </si>
  <si>
    <t xml:space="preserve">JE500053</t>
  </si>
  <si>
    <t xml:space="preserve">Office World Ltd </t>
  </si>
  <si>
    <t xml:space="preserve"> 7,328.09 </t>
  </si>
  <si>
    <t xml:space="preserve">15 Feb 2025</t>
  </si>
  <si>
    <t xml:space="preserve">JE500070</t>
  </si>
  <si>
    <t xml:space="preserve">2814.95</t>
  </si>
  <si>
    <t xml:space="preserve">15.02.2025</t>
  </si>
  <si>
    <t xml:space="preserve">JE500071</t>
  </si>
  <si>
    <t xml:space="preserve">15/02/2025</t>
  </si>
  <si>
    <t xml:space="preserve">3,295.37</t>
  </si>
  <si>
    <t xml:space="preserve">2025-02-15</t>
  </si>
  <si>
    <t xml:space="preserve">JE500094</t>
  </si>
  <si>
    <t xml:space="preserve">$1,079.70</t>
  </si>
  <si>
    <t xml:space="preserve">18 Feb 2025</t>
  </si>
  <si>
    <t xml:space="preserve">JE500074</t>
  </si>
  <si>
    <t xml:space="preserve"> 6,695.00 </t>
  </si>
  <si>
    <t xml:space="preserve">JE500083</t>
  </si>
  <si>
    <t xml:space="preserve">TalentFind Agency  </t>
  </si>
  <si>
    <t xml:space="preserve">1958.94</t>
  </si>
  <si>
    <t xml:space="preserve">20.02.2025</t>
  </si>
  <si>
    <t xml:space="preserve">JE500055</t>
  </si>
  <si>
    <t xml:space="preserve">2,053.04</t>
  </si>
  <si>
    <t xml:space="preserve">20/02/2025</t>
  </si>
  <si>
    <t xml:space="preserve">JE500061</t>
  </si>
  <si>
    <t xml:space="preserve">2025-02-22</t>
  </si>
  <si>
    <t xml:space="preserve">JE500091</t>
  </si>
  <si>
    <t xml:space="preserve">2,754.79</t>
  </si>
  <si>
    <t xml:space="preserve">23 Feb 2025</t>
  </si>
  <si>
    <t xml:space="preserve">JE500098</t>
  </si>
  <si>
    <t xml:space="preserve">$3,852.67</t>
  </si>
  <si>
    <t xml:space="preserve">JE500075</t>
  </si>
  <si>
    <t xml:space="preserve"> 3,612.95 </t>
  </si>
  <si>
    <t xml:space="preserve">26.02.2025</t>
  </si>
  <si>
    <t xml:space="preserve">JE500065</t>
  </si>
  <si>
    <t xml:space="preserve">7191.75</t>
  </si>
  <si>
    <t xml:space="preserve">26/02/2025</t>
  </si>
  <si>
    <t xml:space="preserve">JE500089</t>
  </si>
  <si>
    <t xml:space="preserve">2,437.07</t>
  </si>
  <si>
    <t xml:space="preserve">2025-02-27</t>
  </si>
  <si>
    <t xml:space="preserve">JE500068</t>
  </si>
  <si>
    <t xml:space="preserve">27 Feb 2025</t>
  </si>
  <si>
    <t xml:space="preserve">JE500092</t>
  </si>
  <si>
    <t xml:space="preserve">Recruitment Feb</t>
  </si>
  <si>
    <t xml:space="preserve">760.30</t>
  </si>
  <si>
    <t xml:space="preserve">JE500058</t>
  </si>
  <si>
    <t xml:space="preserve">$235.84</t>
  </si>
  <si>
    <t xml:space="preserve">28.02.2025</t>
  </si>
  <si>
    <t xml:space="preserve">JE500076</t>
  </si>
  <si>
    <t xml:space="preserve">Printwise   </t>
  </si>
  <si>
    <t xml:space="preserve"> 2,501.19 </t>
  </si>
  <si>
    <t xml:space="preserve">28/02/2025</t>
  </si>
  <si>
    <t xml:space="preserve">JE500093</t>
  </si>
  <si>
    <t xml:space="preserve">3951.59</t>
  </si>
  <si>
    <t xml:space="preserve">2025-03-02</t>
  </si>
  <si>
    <t xml:space="preserve">JE500105</t>
  </si>
  <si>
    <t xml:space="preserve">Security Mar</t>
  </si>
  <si>
    <t xml:space="preserve">2,218.65</t>
  </si>
  <si>
    <t xml:space="preserve">2 Mar 2025</t>
  </si>
  <si>
    <t xml:space="preserve">JE500118</t>
  </si>
  <si>
    <t xml:space="preserve">JE500139</t>
  </si>
  <si>
    <t xml:space="preserve">Freight Mar</t>
  </si>
  <si>
    <t xml:space="preserve">6,625.83</t>
  </si>
  <si>
    <t xml:space="preserve">04.03.2025</t>
  </si>
  <si>
    <t xml:space="preserve">JE500110</t>
  </si>
  <si>
    <t xml:space="preserve">Travel Mar</t>
  </si>
  <si>
    <t xml:space="preserve">$3,381.87</t>
  </si>
  <si>
    <t xml:space="preserve">05/03/2025</t>
  </si>
  <si>
    <t xml:space="preserve">JE500125</t>
  </si>
  <si>
    <t xml:space="preserve">Cloud hosting Mar</t>
  </si>
  <si>
    <t xml:space="preserve"> 630.10 </t>
  </si>
  <si>
    <t xml:space="preserve">2025-03-05</t>
  </si>
  <si>
    <t xml:space="preserve">JE500127</t>
  </si>
  <si>
    <t xml:space="preserve">Advertising Mar</t>
  </si>
  <si>
    <t xml:space="preserve">5758.61</t>
  </si>
  <si>
    <t xml:space="preserve">6 Mar 2025</t>
  </si>
  <si>
    <t xml:space="preserve">JE500117</t>
  </si>
  <si>
    <t xml:space="preserve">Recruitment Mar</t>
  </si>
  <si>
    <t xml:space="preserve">1,837.67</t>
  </si>
  <si>
    <t xml:space="preserve">JE500114</t>
  </si>
  <si>
    <t xml:space="preserve">Training Mar</t>
  </si>
  <si>
    <t xml:space="preserve">07.03.2025</t>
  </si>
  <si>
    <t xml:space="preserve">JE500135</t>
  </si>
  <si>
    <t xml:space="preserve">1,855.48</t>
  </si>
  <si>
    <t xml:space="preserve">07/03/2025</t>
  </si>
  <si>
    <t xml:space="preserve">JE500143</t>
  </si>
  <si>
    <t xml:space="preserve">CloudHost Inc  </t>
  </si>
  <si>
    <t xml:space="preserve">$7,736.84</t>
  </si>
  <si>
    <t xml:space="preserve">2025-03-10</t>
  </si>
  <si>
    <t xml:space="preserve">JE500132</t>
  </si>
  <si>
    <t xml:space="preserve">Utilities Mar</t>
  </si>
  <si>
    <t xml:space="preserve"> 716.35 </t>
  </si>
  <si>
    <t xml:space="preserve">11 Mar 2025</t>
  </si>
  <si>
    <t xml:space="preserve">JE500108</t>
  </si>
  <si>
    <t xml:space="preserve">1403.18</t>
  </si>
  <si>
    <t xml:space="preserve">JE500115</t>
  </si>
  <si>
    <t xml:space="preserve">Bank charges Mar</t>
  </si>
  <si>
    <t xml:space="preserve">732.27</t>
  </si>
  <si>
    <t xml:space="preserve">11.03.2025</t>
  </si>
  <si>
    <t xml:space="preserve">JE500140</t>
  </si>
  <si>
    <t xml:space="preserve">12/03/2025</t>
  </si>
  <si>
    <t xml:space="preserve">JE500121</t>
  </si>
  <si>
    <t xml:space="preserve">837.72</t>
  </si>
  <si>
    <t xml:space="preserve">2025-03-12</t>
  </si>
  <si>
    <t xml:space="preserve">JE500134</t>
  </si>
  <si>
    <t xml:space="preserve">$4,111.44</t>
  </si>
  <si>
    <t xml:space="preserve">12 Mar 2025</t>
  </si>
  <si>
    <t xml:space="preserve">JE500136</t>
  </si>
  <si>
    <t xml:space="preserve"> 3,348.91 </t>
  </si>
  <si>
    <t xml:space="preserve">JE500142</t>
  </si>
  <si>
    <t xml:space="preserve">993.98</t>
  </si>
  <si>
    <t xml:space="preserve">13.03.2025</t>
  </si>
  <si>
    <t xml:space="preserve">JE500119</t>
  </si>
  <si>
    <t xml:space="preserve">4,461.26</t>
  </si>
  <si>
    <t xml:space="preserve">13/03/2025</t>
  </si>
  <si>
    <t xml:space="preserve">JE500138</t>
  </si>
  <si>
    <t xml:space="preserve">2025-03-13</t>
  </si>
  <si>
    <t xml:space="preserve">JE500141</t>
  </si>
  <si>
    <t xml:space="preserve">City Power  </t>
  </si>
  <si>
    <t xml:space="preserve">5,593.60</t>
  </si>
  <si>
    <t xml:space="preserve">14 Mar 2025</t>
  </si>
  <si>
    <t xml:space="preserve">JE500106</t>
  </si>
  <si>
    <t xml:space="preserve">$5,618.41</t>
  </si>
  <si>
    <t xml:space="preserve">JE500109</t>
  </si>
  <si>
    <t xml:space="preserve"> 6,080.85 </t>
  </si>
  <si>
    <t xml:space="preserve">14.03.2025</t>
  </si>
  <si>
    <t xml:space="preserve">JE500120</t>
  </si>
  <si>
    <t xml:space="preserve">169.23</t>
  </si>
  <si>
    <t xml:space="preserve">14/03/2025</t>
  </si>
  <si>
    <t xml:space="preserve">JE500124</t>
  </si>
  <si>
    <t xml:space="preserve">2,893.74</t>
  </si>
  <si>
    <t xml:space="preserve">2025-03-14</t>
  </si>
  <si>
    <t xml:space="preserve">JE500133</t>
  </si>
  <si>
    <t xml:space="preserve">City Power </t>
  </si>
  <si>
    <t xml:space="preserve">15 Mar 2025</t>
  </si>
  <si>
    <t xml:space="preserve">JE500104</t>
  </si>
  <si>
    <t xml:space="preserve">6,120.84</t>
  </si>
  <si>
    <t xml:space="preserve">JE500126</t>
  </si>
  <si>
    <t xml:space="preserve">$780.71</t>
  </si>
  <si>
    <t xml:space="preserve">17.03.2025</t>
  </si>
  <si>
    <t xml:space="preserve">JE500107</t>
  </si>
  <si>
    <t xml:space="preserve"> 7,981.54 </t>
  </si>
  <si>
    <t xml:space="preserve">17/03/2025</t>
  </si>
  <si>
    <t xml:space="preserve">JE500122</t>
  </si>
  <si>
    <t xml:space="preserve">4783.63</t>
  </si>
  <si>
    <t xml:space="preserve">2025-03-18</t>
  </si>
  <si>
    <t xml:space="preserve">JE500131</t>
  </si>
  <si>
    <t xml:space="preserve">2,355.13</t>
  </si>
  <si>
    <t xml:space="preserve">20 Mar 2025</t>
  </si>
  <si>
    <t xml:space="preserve">JE500123</t>
  </si>
  <si>
    <t xml:space="preserve">JE500128</t>
  </si>
  <si>
    <t xml:space="preserve">3,956.99</t>
  </si>
  <si>
    <t xml:space="preserve">21.03.2025</t>
  </si>
  <si>
    <t xml:space="preserve">JE500100</t>
  </si>
  <si>
    <t xml:space="preserve">$7,132.00</t>
  </si>
  <si>
    <t xml:space="preserve">22/03/2025</t>
  </si>
  <si>
    <t xml:space="preserve">JE500137</t>
  </si>
  <si>
    <t xml:space="preserve">Legal Partners LLP </t>
  </si>
  <si>
    <t xml:space="preserve"> 4,225.47 </t>
  </si>
  <si>
    <t xml:space="preserve">2025-03-23</t>
  </si>
  <si>
    <t xml:space="preserve">JE500112</t>
  </si>
  <si>
    <t xml:space="preserve">267.54</t>
  </si>
  <si>
    <t xml:space="preserve">23 Mar 2025</t>
  </si>
  <si>
    <t xml:space="preserve">JE500130</t>
  </si>
  <si>
    <t xml:space="preserve">2,023.31</t>
  </si>
  <si>
    <t xml:space="preserve">JE500099</t>
  </si>
  <si>
    <t xml:space="preserve">25.03.2025</t>
  </si>
  <si>
    <t xml:space="preserve">JE500103</t>
  </si>
  <si>
    <t xml:space="preserve">5,953.65</t>
  </si>
  <si>
    <t xml:space="preserve">25/03/2025</t>
  </si>
  <si>
    <t xml:space="preserve">JE500129</t>
  </si>
  <si>
    <t xml:space="preserve">$5,271.17</t>
  </si>
  <si>
    <t xml:space="preserve">2025-03-26</t>
  </si>
  <si>
    <t xml:space="preserve">JE500101</t>
  </si>
  <si>
    <t xml:space="preserve"> 200.59 </t>
  </si>
  <si>
    <t xml:space="preserve">26 Mar 2025</t>
  </si>
  <si>
    <t xml:space="preserve">JE500102</t>
  </si>
  <si>
    <t xml:space="preserve">3343.83</t>
  </si>
  <si>
    <t xml:space="preserve">JE500111</t>
  </si>
  <si>
    <t xml:space="preserve">3,184.79</t>
  </si>
  <si>
    <t xml:space="preserve">27.03.2025</t>
  </si>
  <si>
    <t xml:space="preserve">JE500116</t>
  </si>
  <si>
    <t xml:space="preserve">28/03/2025</t>
  </si>
  <si>
    <t xml:space="preserve">JE500113</t>
  </si>
  <si>
    <t xml:space="preserve">1,783.42</t>
  </si>
  <si>
    <t xml:space="preserve">Subtotal Q1</t>
  </si>
  <si>
    <t xml:space="preserve">474,704.32</t>
  </si>
  <si>
    <t xml:space="preserve">2025-04-02</t>
  </si>
  <si>
    <t xml:space="preserve">JE500163</t>
  </si>
  <si>
    <t xml:space="preserve">Utilities Apr</t>
  </si>
  <si>
    <t xml:space="preserve">$147.32</t>
  </si>
  <si>
    <t xml:space="preserve">3 Apr 2025</t>
  </si>
  <si>
    <t xml:space="preserve">JE500182</t>
  </si>
  <si>
    <t xml:space="preserve">Cloud hosting Apr</t>
  </si>
  <si>
    <t xml:space="preserve"> 820.03 </t>
  </si>
  <si>
    <t xml:space="preserve">JE500162</t>
  </si>
  <si>
    <t xml:space="preserve">Training Apr</t>
  </si>
  <si>
    <t xml:space="preserve">1072.31</t>
  </si>
  <si>
    <t xml:space="preserve">04.04.2025</t>
  </si>
  <si>
    <t xml:space="preserve">JE500177</t>
  </si>
  <si>
    <t xml:space="preserve">Advertising Apr</t>
  </si>
  <si>
    <t xml:space="preserve">281.29</t>
  </si>
  <si>
    <t xml:space="preserve">04/04/2025</t>
  </si>
  <si>
    <t xml:space="preserve">JE500180</t>
  </si>
  <si>
    <t xml:space="preserve">2025-04-05</t>
  </si>
  <si>
    <t xml:space="preserve">JE500154</t>
  </si>
  <si>
    <t xml:space="preserve">6,109.80</t>
  </si>
  <si>
    <t xml:space="preserve">6 Apr 2025</t>
  </si>
  <si>
    <t xml:space="preserve">JE500174</t>
  </si>
  <si>
    <t xml:space="preserve">Security Apr</t>
  </si>
  <si>
    <t xml:space="preserve">$5,343.08</t>
  </si>
  <si>
    <t xml:space="preserve">JE500183</t>
  </si>
  <si>
    <t xml:space="preserve">(373.27)</t>
  </si>
  <si>
    <t xml:space="preserve">07.04.2025</t>
  </si>
  <si>
    <t xml:space="preserve">JE500144</t>
  </si>
  <si>
    <t xml:space="preserve">986.3</t>
  </si>
  <si>
    <t xml:space="preserve">07/04/2025</t>
  </si>
  <si>
    <t xml:space="preserve">JE500153</t>
  </si>
  <si>
    <t xml:space="preserve">Freight Apr</t>
  </si>
  <si>
    <t xml:space="preserve">3,153.94</t>
  </si>
  <si>
    <t xml:space="preserve">2025-04-07</t>
  </si>
  <si>
    <t xml:space="preserve">JE500160</t>
  </si>
  <si>
    <t xml:space="preserve">8 Apr 2025</t>
  </si>
  <si>
    <t xml:space="preserve">JE500149</t>
  </si>
  <si>
    <t xml:space="preserve">1,663.50</t>
  </si>
  <si>
    <t xml:space="preserve">JE500155</t>
  </si>
  <si>
    <t xml:space="preserve">$7,667.42</t>
  </si>
  <si>
    <t xml:space="preserve">08.04.2025</t>
  </si>
  <si>
    <t xml:space="preserve">JE500156</t>
  </si>
  <si>
    <t xml:space="preserve"> 4,242.08 </t>
  </si>
  <si>
    <t xml:space="preserve">08/04/2025</t>
  </si>
  <si>
    <t xml:space="preserve">JE500184</t>
  </si>
  <si>
    <t xml:space="preserve">Bank charges Apr</t>
  </si>
  <si>
    <t xml:space="preserve">1794.02</t>
  </si>
  <si>
    <t xml:space="preserve">2025-04-08</t>
  </si>
  <si>
    <t xml:space="preserve">JE500185</t>
  </si>
  <si>
    <t xml:space="preserve">5,784.95</t>
  </si>
  <si>
    <t xml:space="preserve">10 Apr 2025</t>
  </si>
  <si>
    <t xml:space="preserve">JE500157</t>
  </si>
  <si>
    <t xml:space="preserve">Travel Apr</t>
  </si>
  <si>
    <t xml:space="preserve">JE500159</t>
  </si>
  <si>
    <t xml:space="preserve">1,471.73</t>
  </si>
  <si>
    <t xml:space="preserve">11.04.2025</t>
  </si>
  <si>
    <t xml:space="preserve">JE500148</t>
  </si>
  <si>
    <t xml:space="preserve">$7,562.15</t>
  </si>
  <si>
    <t xml:space="preserve">12/04/2025</t>
  </si>
  <si>
    <t xml:space="preserve">JE500166</t>
  </si>
  <si>
    <t xml:space="preserve"> 3,992.30 </t>
  </si>
  <si>
    <t xml:space="preserve">2025-04-12</t>
  </si>
  <si>
    <t xml:space="preserve">JE500167</t>
  </si>
  <si>
    <t xml:space="preserve">2964.66</t>
  </si>
  <si>
    <t xml:space="preserve">13 Apr 2025</t>
  </si>
  <si>
    <t xml:space="preserve">JE500176</t>
  </si>
  <si>
    <t xml:space="preserve">1,792.23</t>
  </si>
  <si>
    <t xml:space="preserve">JE500173</t>
  </si>
  <si>
    <t xml:space="preserve">15.04.2025</t>
  </si>
  <si>
    <t xml:space="preserve">JE500158</t>
  </si>
  <si>
    <t xml:space="preserve">7,979.48</t>
  </si>
  <si>
    <t xml:space="preserve">16/04/2025</t>
  </si>
  <si>
    <t xml:space="preserve">JE500178</t>
  </si>
  <si>
    <t xml:space="preserve">$6,721.80</t>
  </si>
  <si>
    <t xml:space="preserve">2025-04-17</t>
  </si>
  <si>
    <t xml:space="preserve">JE500147</t>
  </si>
  <si>
    <t xml:space="preserve"> 3,349.78 </t>
  </si>
  <si>
    <t xml:space="preserve">17 Apr 2025</t>
  </si>
  <si>
    <t xml:space="preserve">JE500150</t>
  </si>
  <si>
    <t xml:space="preserve">Audit fees Apr</t>
  </si>
  <si>
    <t xml:space="preserve">3589.99</t>
  </si>
  <si>
    <t xml:space="preserve">JE500172</t>
  </si>
  <si>
    <t xml:space="preserve">2,175.37</t>
  </si>
  <si>
    <t xml:space="preserve">19.04.2025</t>
  </si>
  <si>
    <t xml:space="preserve">JE500179</t>
  </si>
  <si>
    <t xml:space="preserve">20/04/2025</t>
  </si>
  <si>
    <t xml:space="preserve">JE500145</t>
  </si>
  <si>
    <t xml:space="preserve">3,568.44</t>
  </si>
  <si>
    <t xml:space="preserve">2025-04-21</t>
  </si>
  <si>
    <t xml:space="preserve">JE500171</t>
  </si>
  <si>
    <t xml:space="preserve">Printwise  </t>
  </si>
  <si>
    <t xml:space="preserve">$4,128.77</t>
  </si>
  <si>
    <t xml:space="preserve">22 Apr 2025</t>
  </si>
  <si>
    <t xml:space="preserve">JE500146</t>
  </si>
  <si>
    <t xml:space="preserve"> 476.45 </t>
  </si>
  <si>
    <t xml:space="preserve">JE500152</t>
  </si>
  <si>
    <t xml:space="preserve">288.92-</t>
  </si>
  <si>
    <t xml:space="preserve">22.04.2025</t>
  </si>
  <si>
    <t xml:space="preserve">JE500161</t>
  </si>
  <si>
    <t xml:space="preserve">2,826.81</t>
  </si>
  <si>
    <t xml:space="preserve">22/04/2025</t>
  </si>
  <si>
    <t xml:space="preserve">JE500165</t>
  </si>
  <si>
    <t xml:space="preserve">2025-04-23</t>
  </si>
  <si>
    <t xml:space="preserve">JE500151</t>
  </si>
  <si>
    <t xml:space="preserve">1,483.48</t>
  </si>
  <si>
    <t xml:space="preserve">24 Apr 2025</t>
  </si>
  <si>
    <t xml:space="preserve">JE500168</t>
  </si>
  <si>
    <t xml:space="preserve">$5,656.44</t>
  </si>
  <si>
    <t xml:space="preserve">JE500170</t>
  </si>
  <si>
    <t xml:space="preserve">Recruitment Apr</t>
  </si>
  <si>
    <t xml:space="preserve"> 1,139.28 </t>
  </si>
  <si>
    <t xml:space="preserve">24.04.2025</t>
  </si>
  <si>
    <t xml:space="preserve">JE500181</t>
  </si>
  <si>
    <t xml:space="preserve">1735.91</t>
  </si>
  <si>
    <t xml:space="preserve">26/04/2025</t>
  </si>
  <si>
    <t xml:space="preserve">JE500164</t>
  </si>
  <si>
    <t xml:space="preserve">5,080.56</t>
  </si>
  <si>
    <t xml:space="preserve">2025-04-27</t>
  </si>
  <si>
    <t xml:space="preserve">JE500175</t>
  </si>
  <si>
    <t xml:space="preserve">27 Apr 2025</t>
  </si>
  <si>
    <t xml:space="preserve">JE500186</t>
  </si>
  <si>
    <t xml:space="preserve">6,766.62</t>
  </si>
  <si>
    <t xml:space="preserve">JE500169</t>
  </si>
  <si>
    <t xml:space="preserve">$6,105.24</t>
  </si>
  <si>
    <t xml:space="preserve">01.05.2025</t>
  </si>
  <si>
    <t xml:space="preserve">JE500209</t>
  </si>
  <si>
    <t xml:space="preserve">Advertising May</t>
  </si>
  <si>
    <t xml:space="preserve"> 7,259.89 </t>
  </si>
  <si>
    <t xml:space="preserve">01/05/2025</t>
  </si>
  <si>
    <t xml:space="preserve">JE500218</t>
  </si>
  <si>
    <t xml:space="preserve">Bank charges May</t>
  </si>
  <si>
    <t xml:space="preserve">3034.56</t>
  </si>
  <si>
    <t xml:space="preserve">2025-05-01</t>
  </si>
  <si>
    <t xml:space="preserve">JE500227</t>
  </si>
  <si>
    <t xml:space="preserve">Security May</t>
  </si>
  <si>
    <t xml:space="preserve">458.32</t>
  </si>
  <si>
    <t xml:space="preserve">3 May 2025</t>
  </si>
  <si>
    <t xml:space="preserve">JE500206</t>
  </si>
  <si>
    <t xml:space="preserve">Travel May</t>
  </si>
  <si>
    <t xml:space="preserve">JE500214</t>
  </si>
  <si>
    <t xml:space="preserve">2,111.49</t>
  </si>
  <si>
    <t xml:space="preserve">04.05.2025</t>
  </si>
  <si>
    <t xml:space="preserve">JE500188</t>
  </si>
  <si>
    <t xml:space="preserve">Training May</t>
  </si>
  <si>
    <t xml:space="preserve">$2,532.18</t>
  </si>
  <si>
    <t xml:space="preserve">05/05/2025</t>
  </si>
  <si>
    <t xml:space="preserve">JE500201</t>
  </si>
  <si>
    <t xml:space="preserve"> 4,202.00 </t>
  </si>
  <si>
    <t xml:space="preserve">2025-05-05</t>
  </si>
  <si>
    <t xml:space="preserve">JE500207</t>
  </si>
  <si>
    <t xml:space="preserve">1883.51</t>
  </si>
  <si>
    <t xml:space="preserve">5 May 2025</t>
  </si>
  <si>
    <t xml:space="preserve">JE500222</t>
  </si>
  <si>
    <t xml:space="preserve">Audit fees May</t>
  </si>
  <si>
    <t xml:space="preserve">848.92</t>
  </si>
  <si>
    <t xml:space="preserve">JE500228</t>
  </si>
  <si>
    <t xml:space="preserve">TalentFind Agency   </t>
  </si>
  <si>
    <t xml:space="preserve">06.05.2025</t>
  </si>
  <si>
    <t xml:space="preserve">JE500229</t>
  </si>
  <si>
    <t xml:space="preserve">1,642.32</t>
  </si>
  <si>
    <t xml:space="preserve">2025-05-08</t>
  </si>
  <si>
    <t xml:space="preserve">JE500202</t>
  </si>
  <si>
    <t xml:space="preserve"> 3,879.55 </t>
  </si>
  <si>
    <t xml:space="preserve">8 May 2025</t>
  </si>
  <si>
    <t xml:space="preserve">JE500205</t>
  </si>
  <si>
    <t xml:space="preserve">2581.34</t>
  </si>
  <si>
    <t xml:space="preserve">JE500217</t>
  </si>
  <si>
    <t xml:space="preserve">1,385.22</t>
  </si>
  <si>
    <t xml:space="preserve">09.05.2025</t>
  </si>
  <si>
    <t xml:space="preserve">JE500231</t>
  </si>
  <si>
    <t xml:space="preserve">10/05/2025</t>
  </si>
  <si>
    <t xml:space="preserve">JE500189</t>
  </si>
  <si>
    <t xml:space="preserve">2,733.57</t>
  </si>
  <si>
    <t xml:space="preserve">2025-05-10</t>
  </si>
  <si>
    <t xml:space="preserve">JE500216</t>
  </si>
  <si>
    <t xml:space="preserve">Freight May</t>
  </si>
  <si>
    <t xml:space="preserve">$4,794.90</t>
  </si>
  <si>
    <t xml:space="preserve">10 May 2025</t>
  </si>
  <si>
    <t xml:space="preserve">JE500225</t>
  </si>
  <si>
    <t xml:space="preserve">Travel Desk </t>
  </si>
  <si>
    <t xml:space="preserve"> 2,969.68 </t>
  </si>
  <si>
    <t xml:space="preserve">JE500198</t>
  </si>
  <si>
    <t xml:space="preserve">3086.51</t>
  </si>
  <si>
    <t xml:space="preserve">12.05.2025</t>
  </si>
  <si>
    <t xml:space="preserve">JE500190</t>
  </si>
  <si>
    <t xml:space="preserve">3,731.25</t>
  </si>
  <si>
    <t xml:space="preserve">12/05/2025</t>
  </si>
  <si>
    <t xml:space="preserve">JE500192</t>
  </si>
  <si>
    <t xml:space="preserve">2025-05-12</t>
  </si>
  <si>
    <t xml:space="preserve">JE500221</t>
  </si>
  <si>
    <t xml:space="preserve">1,859.99</t>
  </si>
  <si>
    <t xml:space="preserve">12 May 2025</t>
  </si>
  <si>
    <t xml:space="preserve">JE500224</t>
  </si>
  <si>
    <t xml:space="preserve">$218.74</t>
  </si>
  <si>
    <t xml:space="preserve">JE500191</t>
  </si>
  <si>
    <t xml:space="preserve"> 7,134.51 </t>
  </si>
  <si>
    <t xml:space="preserve">13.05.2025</t>
  </si>
  <si>
    <t xml:space="preserve">JE500204</t>
  </si>
  <si>
    <t xml:space="preserve">773.09</t>
  </si>
  <si>
    <t xml:space="preserve">13/05/2025</t>
  </si>
  <si>
    <t xml:space="preserve">JE500208</t>
  </si>
  <si>
    <t xml:space="preserve">188.00</t>
  </si>
  <si>
    <t xml:space="preserve">2025-05-14</t>
  </si>
  <si>
    <t xml:space="preserve">JE500211</t>
  </si>
  <si>
    <t xml:space="preserve">Utilities May</t>
  </si>
  <si>
    <t xml:space="preserve">14 May 2025</t>
  </si>
  <si>
    <t xml:space="preserve">JE500213</t>
  </si>
  <si>
    <t xml:space="preserve">3,026.24</t>
  </si>
  <si>
    <t xml:space="preserve">JE500215</t>
  </si>
  <si>
    <t xml:space="preserve">Recruitment May</t>
  </si>
  <si>
    <t xml:space="preserve">$473.26</t>
  </si>
  <si>
    <t xml:space="preserve">17.05.2025</t>
  </si>
  <si>
    <t xml:space="preserve">JE500197</t>
  </si>
  <si>
    <t xml:space="preserve"> 2,570.27 </t>
  </si>
  <si>
    <t xml:space="preserve">20/05/2025</t>
  </si>
  <si>
    <t xml:space="preserve">JE500187</t>
  </si>
  <si>
    <t xml:space="preserve">4139.63</t>
  </si>
  <si>
    <t xml:space="preserve">2025-05-20</t>
  </si>
  <si>
    <t xml:space="preserve">JE500210</t>
  </si>
  <si>
    <t xml:space="preserve">3,289.84</t>
  </si>
  <si>
    <t xml:space="preserve">20 May 2025</t>
  </si>
  <si>
    <t xml:space="preserve">JE500219</t>
  </si>
  <si>
    <t xml:space="preserve">JE500200</t>
  </si>
  <si>
    <t xml:space="preserve">8,383.43</t>
  </si>
  <si>
    <t xml:space="preserve">21.05.2025</t>
  </si>
  <si>
    <t xml:space="preserve">JE500230</t>
  </si>
  <si>
    <t xml:space="preserve">$3,879.57</t>
  </si>
  <si>
    <t xml:space="preserve">22/05/2025</t>
  </si>
  <si>
    <t xml:space="preserve">JE500203</t>
  </si>
  <si>
    <t xml:space="preserve">TalentFind Agency </t>
  </si>
  <si>
    <t xml:space="preserve"> 1,591.37 </t>
  </si>
  <si>
    <t xml:space="preserve">2025-05-22</t>
  </si>
  <si>
    <t xml:space="preserve">JE500212</t>
  </si>
  <si>
    <t xml:space="preserve">2302.62</t>
  </si>
  <si>
    <t xml:space="preserve">23 May 2025</t>
  </si>
  <si>
    <t xml:space="preserve">JE500195</t>
  </si>
  <si>
    <t xml:space="preserve">3,012.87</t>
  </si>
  <si>
    <t xml:space="preserve">JE500194</t>
  </si>
  <si>
    <t xml:space="preserve">Cloud hosting May</t>
  </si>
  <si>
    <t xml:space="preserve">24.05.2025</t>
  </si>
  <si>
    <t xml:space="preserve">JE500196</t>
  </si>
  <si>
    <t xml:space="preserve">5,187.82</t>
  </si>
  <si>
    <t xml:space="preserve">25/05/2025</t>
  </si>
  <si>
    <t xml:space="preserve">JE500223</t>
  </si>
  <si>
    <t xml:space="preserve">$6,305.41</t>
  </si>
  <si>
    <t xml:space="preserve">2025-05-25</t>
  </si>
  <si>
    <t xml:space="preserve">JE500226</t>
  </si>
  <si>
    <t xml:space="preserve"> 2,004.36 </t>
  </si>
  <si>
    <t xml:space="preserve">27 May 2025</t>
  </si>
  <si>
    <t xml:space="preserve">JE500193</t>
  </si>
  <si>
    <t xml:space="preserve">3852.24</t>
  </si>
  <si>
    <t xml:space="preserve">JE500220</t>
  </si>
  <si>
    <t xml:space="preserve">4,838.40</t>
  </si>
  <si>
    <t xml:space="preserve">28.05.2025</t>
  </si>
  <si>
    <t xml:space="preserve">JE500199</t>
  </si>
  <si>
    <t xml:space="preserve">01/06/2025</t>
  </si>
  <si>
    <t xml:space="preserve">JE500235</t>
  </si>
  <si>
    <t xml:space="preserve">Travel Jun</t>
  </si>
  <si>
    <t xml:space="preserve">1,443.50</t>
  </si>
  <si>
    <t xml:space="preserve">2025-06-01</t>
  </si>
  <si>
    <t xml:space="preserve">JE500275</t>
  </si>
  <si>
    <t xml:space="preserve">Utilities Jun</t>
  </si>
  <si>
    <t xml:space="preserve">$3,551.35</t>
  </si>
  <si>
    <t xml:space="preserve">2 Jun 2025</t>
  </si>
  <si>
    <t xml:space="preserve">JE500260</t>
  </si>
  <si>
    <t xml:space="preserve"> 6,662.29 </t>
  </si>
  <si>
    <t xml:space="preserve">JE500257</t>
  </si>
  <si>
    <t xml:space="preserve">Freight Jun</t>
  </si>
  <si>
    <t xml:space="preserve">2724.61</t>
  </si>
  <si>
    <t xml:space="preserve">03.06.2025</t>
  </si>
  <si>
    <t xml:space="preserve">JE500266</t>
  </si>
  <si>
    <t xml:space="preserve">6,664.98</t>
  </si>
  <si>
    <t xml:space="preserve">03/06/2025</t>
  </si>
  <si>
    <t xml:space="preserve">JE500278</t>
  </si>
  <si>
    <t xml:space="preserve">Audit fees Jun</t>
  </si>
  <si>
    <t xml:space="preserve">2025-06-04</t>
  </si>
  <si>
    <t xml:space="preserve">JE500265</t>
  </si>
  <si>
    <t xml:space="preserve">1,431.39</t>
  </si>
  <si>
    <t xml:space="preserve">5 Jun 2025</t>
  </si>
  <si>
    <t xml:space="preserve">JE500237</t>
  </si>
  <si>
    <t xml:space="preserve">$1,262.06</t>
  </si>
  <si>
    <t xml:space="preserve">JE500242</t>
  </si>
  <si>
    <t xml:space="preserve">Advertising Jun</t>
  </si>
  <si>
    <t xml:space="preserve"> 731.71 </t>
  </si>
  <si>
    <t xml:space="preserve">05.06.2025</t>
  </si>
  <si>
    <t xml:space="preserve">JE500252</t>
  </si>
  <si>
    <t xml:space="preserve">Cloud hosting Jun</t>
  </si>
  <si>
    <t xml:space="preserve">2210.79</t>
  </si>
  <si>
    <t xml:space="preserve">05/06/2025</t>
  </si>
  <si>
    <t xml:space="preserve">JE500255</t>
  </si>
  <si>
    <t xml:space="preserve">Security Jun</t>
  </si>
  <si>
    <t xml:space="preserve">3,269.95</t>
  </si>
  <si>
    <t xml:space="preserve">2025-06-05</t>
  </si>
  <si>
    <t xml:space="preserve">JE500261</t>
  </si>
  <si>
    <t xml:space="preserve">6 Jun 2025</t>
  </si>
  <si>
    <t xml:space="preserve">JE500270</t>
  </si>
  <si>
    <t xml:space="preserve">5,641.43</t>
  </si>
  <si>
    <t xml:space="preserve">JE500271</t>
  </si>
  <si>
    <t xml:space="preserve">$4,479.79</t>
  </si>
  <si>
    <t xml:space="preserve">06.06.2025</t>
  </si>
  <si>
    <t xml:space="preserve">JE500283</t>
  </si>
  <si>
    <t xml:space="preserve"> 3,566.23 </t>
  </si>
  <si>
    <t xml:space="preserve">07/06/2025</t>
  </si>
  <si>
    <t xml:space="preserve">JE500234</t>
  </si>
  <si>
    <t xml:space="preserve">Training Jun</t>
  </si>
  <si>
    <t xml:space="preserve">1799.77</t>
  </si>
  <si>
    <t xml:space="preserve">2025-06-07</t>
  </si>
  <si>
    <t xml:space="preserve">JE500258</t>
  </si>
  <si>
    <t xml:space="preserve">99.06</t>
  </si>
  <si>
    <t xml:space="preserve">10 Jun 2025</t>
  </si>
  <si>
    <t xml:space="preserve">JE500240</t>
  </si>
  <si>
    <t xml:space="preserve">Recruitment Jun</t>
  </si>
  <si>
    <t xml:space="preserve">JE500272</t>
  </si>
  <si>
    <t xml:space="preserve">1,749.09</t>
  </si>
  <si>
    <t xml:space="preserve">11.06.2025</t>
  </si>
  <si>
    <t xml:space="preserve">JE500233</t>
  </si>
  <si>
    <t xml:space="preserve">$7,711.27</t>
  </si>
  <si>
    <t xml:space="preserve">11/06/2025</t>
  </si>
  <si>
    <t xml:space="preserve">JE500246</t>
  </si>
  <si>
    <t xml:space="preserve"> 7,013.40 </t>
  </si>
  <si>
    <t xml:space="preserve">2025-06-11</t>
  </si>
  <si>
    <t xml:space="preserve">JE500248</t>
  </si>
  <si>
    <t xml:space="preserve">2187.63</t>
  </si>
  <si>
    <t xml:space="preserve">11 Jun 2025</t>
  </si>
  <si>
    <t xml:space="preserve">JE500268</t>
  </si>
  <si>
    <t xml:space="preserve">5,287.67</t>
  </si>
  <si>
    <t xml:space="preserve">JE500269</t>
  </si>
  <si>
    <t xml:space="preserve">JE500280</t>
  </si>
  <si>
    <t xml:space="preserve">3,948.48</t>
  </si>
  <si>
    <t xml:space="preserve">12/06/2025</t>
  </si>
  <si>
    <t xml:space="preserve">JE500247</t>
  </si>
  <si>
    <t xml:space="preserve">$2,079.81</t>
  </si>
  <si>
    <t xml:space="preserve">2025-06-12</t>
  </si>
  <si>
    <t xml:space="preserve">JE500256</t>
  </si>
  <si>
    <t xml:space="preserve"> 5,125.15 </t>
  </si>
  <si>
    <t xml:space="preserve">12 Jun 2025</t>
  </si>
  <si>
    <t xml:space="preserve">JE500264</t>
  </si>
  <si>
    <t xml:space="preserve">1119.69</t>
  </si>
  <si>
    <t xml:space="preserve">JE500239</t>
  </si>
  <si>
    <t xml:space="preserve">4,479.93</t>
  </si>
  <si>
    <t xml:space="preserve">13.06.2025</t>
  </si>
  <si>
    <t xml:space="preserve">JE500253</t>
  </si>
  <si>
    <t xml:space="preserve">13/06/2025</t>
  </si>
  <si>
    <t xml:space="preserve">JE500267</t>
  </si>
  <si>
    <t xml:space="preserve">4,936.33</t>
  </si>
  <si>
    <t xml:space="preserve">2025-06-14</t>
  </si>
  <si>
    <t xml:space="preserve">JE500244</t>
  </si>
  <si>
    <t xml:space="preserve">$964.34</t>
  </si>
  <si>
    <t xml:space="preserve">14 Jun 2025</t>
  </si>
  <si>
    <t xml:space="preserve">JE500249</t>
  </si>
  <si>
    <t xml:space="preserve"> 1,941.93 </t>
  </si>
  <si>
    <t xml:space="preserve">JE500262</t>
  </si>
  <si>
    <t xml:space="preserve">6789.81</t>
  </si>
  <si>
    <t xml:space="preserve">18.06.2025</t>
  </si>
  <si>
    <t xml:space="preserve">JE500251</t>
  </si>
  <si>
    <t xml:space="preserve">2,067.14</t>
  </si>
  <si>
    <t xml:space="preserve">20/06/2025</t>
  </si>
  <si>
    <t xml:space="preserve">JE500281</t>
  </si>
  <si>
    <t xml:space="preserve">2025-06-22</t>
  </si>
  <si>
    <t xml:space="preserve">JE500241</t>
  </si>
  <si>
    <t xml:space="preserve">3,405.70</t>
  </si>
  <si>
    <t xml:space="preserve">22 Jun 2025</t>
  </si>
  <si>
    <t xml:space="preserve">JE500277</t>
  </si>
  <si>
    <t xml:space="preserve">$3,334.26</t>
  </si>
  <si>
    <t xml:space="preserve">JE500273</t>
  </si>
  <si>
    <t xml:space="preserve"> 4,369.83 </t>
  </si>
  <si>
    <t xml:space="preserve">24.06.2025</t>
  </si>
  <si>
    <t xml:space="preserve">JE500282</t>
  </si>
  <si>
    <t xml:space="preserve">1170.01</t>
  </si>
  <si>
    <t xml:space="preserve">25/06/2025</t>
  </si>
  <si>
    <t xml:space="preserve">JE500276</t>
  </si>
  <si>
    <t xml:space="preserve">604.47</t>
  </si>
  <si>
    <t xml:space="preserve">2025-06-26</t>
  </si>
  <si>
    <t xml:space="preserve">JE500245</t>
  </si>
  <si>
    <t xml:space="preserve">26 Jun 2025</t>
  </si>
  <si>
    <t xml:space="preserve">JE500279</t>
  </si>
  <si>
    <t xml:space="preserve">3,042.18</t>
  </si>
  <si>
    <t xml:space="preserve">JE500232</t>
  </si>
  <si>
    <t xml:space="preserve">$3,954.11</t>
  </si>
  <si>
    <t xml:space="preserve">27.06.2025</t>
  </si>
  <si>
    <t xml:space="preserve">JE500236</t>
  </si>
  <si>
    <t xml:space="preserve">Bank charges Jun</t>
  </si>
  <si>
    <t xml:space="preserve"> 150.49 </t>
  </si>
  <si>
    <t xml:space="preserve">27/06/2025</t>
  </si>
  <si>
    <t xml:space="preserve">JE500243</t>
  </si>
  <si>
    <t xml:space="preserve">1449.81</t>
  </si>
  <si>
    <t xml:space="preserve">2025-06-27</t>
  </si>
  <si>
    <t xml:space="preserve">JE500259</t>
  </si>
  <si>
    <t xml:space="preserve">974.17</t>
  </si>
  <si>
    <t xml:space="preserve">27 Jun 2025</t>
  </si>
  <si>
    <t xml:space="preserve">JE500263</t>
  </si>
  <si>
    <t xml:space="preserve">JE500274</t>
  </si>
  <si>
    <t xml:space="preserve">675.08</t>
  </si>
  <si>
    <t xml:space="preserve">28.06.2025</t>
  </si>
  <si>
    <t xml:space="preserve">JE500238</t>
  </si>
  <si>
    <t xml:space="preserve">$1,522.16</t>
  </si>
  <si>
    <t xml:space="preserve">28/06/2025</t>
  </si>
  <si>
    <t xml:space="preserve">JE500250</t>
  </si>
  <si>
    <t xml:space="preserve"> 5,009.12 </t>
  </si>
  <si>
    <t xml:space="preserve">2025-06-28</t>
  </si>
  <si>
    <t xml:space="preserve">JE500254</t>
  </si>
  <si>
    <t xml:space="preserve">7088.13</t>
  </si>
  <si>
    <t xml:space="preserve">Subtotal Q2</t>
  </si>
  <si>
    <t xml:space="preserve">442,525.33</t>
  </si>
  <si>
    <t xml:space="preserve">1 Jul 2025</t>
  </si>
  <si>
    <t xml:space="preserve">JE500293</t>
  </si>
  <si>
    <t xml:space="preserve">Travel Jul</t>
  </si>
  <si>
    <t xml:space="preserve">2,625.60</t>
  </si>
  <si>
    <t xml:space="preserve">JE500304</t>
  </si>
  <si>
    <t xml:space="preserve">Advertising Jul</t>
  </si>
  <si>
    <t xml:space="preserve">01.07.2025</t>
  </si>
  <si>
    <t xml:space="preserve">JE500305</t>
  </si>
  <si>
    <t xml:space="preserve">2,714.11</t>
  </si>
  <si>
    <t xml:space="preserve">01/07/2025</t>
  </si>
  <si>
    <t xml:space="preserve">JE500311</t>
  </si>
  <si>
    <t xml:space="preserve">Freight Jul</t>
  </si>
  <si>
    <t xml:space="preserve">451.33-</t>
  </si>
  <si>
    <t xml:space="preserve">2025-07-02</t>
  </si>
  <si>
    <t xml:space="preserve">JE500301</t>
  </si>
  <si>
    <t xml:space="preserve"> 2,348.92 </t>
  </si>
  <si>
    <t xml:space="preserve">3 Jul 2025</t>
  </si>
  <si>
    <t xml:space="preserve">JE500310</t>
  </si>
  <si>
    <t xml:space="preserve">4027.81</t>
  </si>
  <si>
    <t xml:space="preserve">JE500316</t>
  </si>
  <si>
    <t xml:space="preserve">5,331.92</t>
  </si>
  <si>
    <t xml:space="preserve">06.07.2025</t>
  </si>
  <si>
    <t xml:space="preserve">JE500296</t>
  </si>
  <si>
    <t xml:space="preserve">06/07/2025</t>
  </si>
  <si>
    <t xml:space="preserve">JE500326</t>
  </si>
  <si>
    <t xml:space="preserve">3,305.18</t>
  </si>
  <si>
    <t xml:space="preserve">2025-07-07</t>
  </si>
  <si>
    <t xml:space="preserve">JE500325</t>
  </si>
  <si>
    <t xml:space="preserve">Utilities Jul</t>
  </si>
  <si>
    <t xml:space="preserve">$3,094.44</t>
  </si>
  <si>
    <t xml:space="preserve">8 Jul 2025</t>
  </si>
  <si>
    <t xml:space="preserve">JE500285</t>
  </si>
  <si>
    <t xml:space="preserve">CloudHost Inc   </t>
  </si>
  <si>
    <t xml:space="preserve"> 6,547.72 </t>
  </si>
  <si>
    <t xml:space="preserve">JE500331</t>
  </si>
  <si>
    <t xml:space="preserve">Security Jul</t>
  </si>
  <si>
    <t xml:space="preserve">3983.24</t>
  </si>
  <si>
    <t xml:space="preserve">08.07.2025</t>
  </si>
  <si>
    <t xml:space="preserve">JE500332</t>
  </si>
  <si>
    <t xml:space="preserve">4,369.04</t>
  </si>
  <si>
    <t xml:space="preserve">09/07/2025</t>
  </si>
  <si>
    <t xml:space="preserve">JE500298</t>
  </si>
  <si>
    <t xml:space="preserve">Bank charges Jul</t>
  </si>
  <si>
    <t xml:space="preserve">2025-07-09</t>
  </si>
  <si>
    <t xml:space="preserve">JE500314</t>
  </si>
  <si>
    <t xml:space="preserve">2,137.50</t>
  </si>
  <si>
    <t xml:space="preserve">9 Jul 2025</t>
  </si>
  <si>
    <t xml:space="preserve">JE500318</t>
  </si>
  <si>
    <t xml:space="preserve">$2,760.34</t>
  </si>
  <si>
    <t xml:space="preserve">JE500292</t>
  </si>
  <si>
    <t xml:space="preserve"> 7,796.02 </t>
  </si>
  <si>
    <t xml:space="preserve">10.07.2025</t>
  </si>
  <si>
    <t xml:space="preserve">JE500308</t>
  </si>
  <si>
    <t xml:space="preserve">Cloud hosting Jul</t>
  </si>
  <si>
    <t xml:space="preserve">1390.09</t>
  </si>
  <si>
    <t xml:space="preserve">10/07/2025</t>
  </si>
  <si>
    <t xml:space="preserve">JE500320</t>
  </si>
  <si>
    <t xml:space="preserve">5,143.27</t>
  </si>
  <si>
    <t xml:space="preserve">2025-07-11</t>
  </si>
  <si>
    <t xml:space="preserve">JE500288</t>
  </si>
  <si>
    <t xml:space="preserve">11 Jul 2025</t>
  </si>
  <si>
    <t xml:space="preserve">JE500294</t>
  </si>
  <si>
    <t xml:space="preserve">Audit fees Jul</t>
  </si>
  <si>
    <t xml:space="preserve">240.22</t>
  </si>
  <si>
    <t xml:space="preserve">JE500303</t>
  </si>
  <si>
    <t xml:space="preserve">$3,850.91</t>
  </si>
  <si>
    <t xml:space="preserve">12.07.2025</t>
  </si>
  <si>
    <t xml:space="preserve">JE500306</t>
  </si>
  <si>
    <t xml:space="preserve"> 385.58 </t>
  </si>
  <si>
    <t xml:space="preserve">12/07/2025</t>
  </si>
  <si>
    <t xml:space="preserve">JE500307</t>
  </si>
  <si>
    <t xml:space="preserve">4215.36</t>
  </si>
  <si>
    <t xml:space="preserve">2025-07-12</t>
  </si>
  <si>
    <t xml:space="preserve">JE500312</t>
  </si>
  <si>
    <t xml:space="preserve">Training Jul</t>
  </si>
  <si>
    <t xml:space="preserve">137.65</t>
  </si>
  <si>
    <t xml:space="preserve">13 Jul 2025</t>
  </si>
  <si>
    <t xml:space="preserve">JE500287</t>
  </si>
  <si>
    <t xml:space="preserve">13.07.2025</t>
  </si>
  <si>
    <t xml:space="preserve">JE500302</t>
  </si>
  <si>
    <t xml:space="preserve">$3,719.75</t>
  </si>
  <si>
    <t xml:space="preserve">13/07/2025</t>
  </si>
  <si>
    <t xml:space="preserve">JE500323</t>
  </si>
  <si>
    <t xml:space="preserve"> 6,179.15 </t>
  </si>
  <si>
    <t xml:space="preserve">2025-07-14</t>
  </si>
  <si>
    <t xml:space="preserve">JE500289</t>
  </si>
  <si>
    <t xml:space="preserve">417.29</t>
  </si>
  <si>
    <t xml:space="preserve">14 Jul 2025</t>
  </si>
  <si>
    <t xml:space="preserve">JE500315</t>
  </si>
  <si>
    <t xml:space="preserve">2,282.78</t>
  </si>
  <si>
    <t xml:space="preserve">JE500286</t>
  </si>
  <si>
    <t xml:space="preserve">15.07.2025</t>
  </si>
  <si>
    <t xml:space="preserve">JE500317</t>
  </si>
  <si>
    <t xml:space="preserve">1,339.12</t>
  </si>
  <si>
    <t xml:space="preserve">15/07/2025</t>
  </si>
  <si>
    <t xml:space="preserve">JE500321</t>
  </si>
  <si>
    <t xml:space="preserve">$1,235.61</t>
  </si>
  <si>
    <t xml:space="preserve">2025-07-16</t>
  </si>
  <si>
    <t xml:space="preserve">JE500313</t>
  </si>
  <si>
    <t xml:space="preserve"> 1,886.52 </t>
  </si>
  <si>
    <t xml:space="preserve">17 Jul 2025</t>
  </si>
  <si>
    <t xml:space="preserve">JE500324</t>
  </si>
  <si>
    <t xml:space="preserve">3463.73</t>
  </si>
  <si>
    <t xml:space="preserve">JE500327</t>
  </si>
  <si>
    <t xml:space="preserve">2,852.51</t>
  </si>
  <si>
    <t xml:space="preserve">18.07.2025</t>
  </si>
  <si>
    <t xml:space="preserve">JE500284</t>
  </si>
  <si>
    <t xml:space="preserve">19/07/2025</t>
  </si>
  <si>
    <t xml:space="preserve">JE500299</t>
  </si>
  <si>
    <t xml:space="preserve">3,948.64</t>
  </si>
  <si>
    <t xml:space="preserve">2025-07-19</t>
  </si>
  <si>
    <t xml:space="preserve">JE500329</t>
  </si>
  <si>
    <t xml:space="preserve">$4,397.36</t>
  </si>
  <si>
    <t xml:space="preserve">20 Jul 2025</t>
  </si>
  <si>
    <t xml:space="preserve">JE500290</t>
  </si>
  <si>
    <t xml:space="preserve"> 8,071.32 </t>
  </si>
  <si>
    <t xml:space="preserve">JE500291</t>
  </si>
  <si>
    <t xml:space="preserve">259.25</t>
  </si>
  <si>
    <t xml:space="preserve">25.07.2025</t>
  </si>
  <si>
    <t xml:space="preserve">JE500300</t>
  </si>
  <si>
    <t xml:space="preserve">1,954.24</t>
  </si>
  <si>
    <t xml:space="preserve">25/07/2025</t>
  </si>
  <si>
    <t xml:space="preserve">JE500319</t>
  </si>
  <si>
    <t xml:space="preserve">2025-07-26</t>
  </si>
  <si>
    <t xml:space="preserve">JE500322</t>
  </si>
  <si>
    <t xml:space="preserve">8,464.14</t>
  </si>
  <si>
    <t xml:space="preserve">27 Jul 2025</t>
  </si>
  <si>
    <t xml:space="preserve">JE500295</t>
  </si>
  <si>
    <t xml:space="preserve">$6,200.70</t>
  </si>
  <si>
    <t xml:space="preserve">JE500328</t>
  </si>
  <si>
    <t xml:space="preserve"> 2,384.00 </t>
  </si>
  <si>
    <t xml:space="preserve">27.07.2025</t>
  </si>
  <si>
    <t xml:space="preserve">JE500330</t>
  </si>
  <si>
    <t xml:space="preserve">401.73</t>
  </si>
  <si>
    <t xml:space="preserve">28/07/2025</t>
  </si>
  <si>
    <t xml:space="preserve">JE500297</t>
  </si>
  <si>
    <t xml:space="preserve">(364.14)</t>
  </si>
  <si>
    <t xml:space="preserve">2025-07-28</t>
  </si>
  <si>
    <t xml:space="preserve">JE500309</t>
  </si>
  <si>
    <t xml:space="preserve">1 Aug 2025</t>
  </si>
  <si>
    <t xml:space="preserve">JE500342</t>
  </si>
  <si>
    <t xml:space="preserve">Freight Aug</t>
  </si>
  <si>
    <t xml:space="preserve">(307.85)</t>
  </si>
  <si>
    <t xml:space="preserve">JE500368</t>
  </si>
  <si>
    <t xml:space="preserve">Travel Aug</t>
  </si>
  <si>
    <t xml:space="preserve">$7,458.91</t>
  </si>
  <si>
    <t xml:space="preserve">02.08.2025</t>
  </si>
  <si>
    <t xml:space="preserve">JE500351</t>
  </si>
  <si>
    <t xml:space="preserve">Audit fees Aug</t>
  </si>
  <si>
    <t xml:space="preserve"> 1,049.95 </t>
  </si>
  <si>
    <t xml:space="preserve">04/08/2025</t>
  </si>
  <si>
    <t xml:space="preserve">JE500339</t>
  </si>
  <si>
    <t xml:space="preserve">Utilities Aug</t>
  </si>
  <si>
    <t xml:space="preserve">2098.72</t>
  </si>
  <si>
    <t xml:space="preserve">2025-08-04</t>
  </si>
  <si>
    <t xml:space="preserve">JE500354</t>
  </si>
  <si>
    <t xml:space="preserve">Recruitment Aug</t>
  </si>
  <si>
    <t xml:space="preserve">1,349.54</t>
  </si>
  <si>
    <t xml:space="preserve">4 Aug 2025</t>
  </si>
  <si>
    <t xml:space="preserve">JE500357</t>
  </si>
  <si>
    <t xml:space="preserve">JE500367</t>
  </si>
  <si>
    <t xml:space="preserve">Bank charges Aug</t>
  </si>
  <si>
    <t xml:space="preserve">1,757.57</t>
  </si>
  <si>
    <t xml:space="preserve">05.08.2025</t>
  </si>
  <si>
    <t xml:space="preserve">JE500372</t>
  </si>
  <si>
    <t xml:space="preserve">115.37-</t>
  </si>
  <si>
    <t xml:space="preserve">06/08/2025</t>
  </si>
  <si>
    <t xml:space="preserve">JE500348</t>
  </si>
  <si>
    <t xml:space="preserve">Security Aug</t>
  </si>
  <si>
    <t xml:space="preserve"> 372.89 </t>
  </si>
  <si>
    <t xml:space="preserve">2025-08-07</t>
  </si>
  <si>
    <t xml:space="preserve">JE500337</t>
  </si>
  <si>
    <t xml:space="preserve">3718.61</t>
  </si>
  <si>
    <t xml:space="preserve">8 Aug 2025</t>
  </si>
  <si>
    <t xml:space="preserve">JE500334</t>
  </si>
  <si>
    <t xml:space="preserve">Advertising Aug</t>
  </si>
  <si>
    <t xml:space="preserve">6,323.14</t>
  </si>
  <si>
    <t xml:space="preserve">JE500370</t>
  </si>
  <si>
    <t xml:space="preserve">09.08.2025</t>
  </si>
  <si>
    <t xml:space="preserve">JE500338</t>
  </si>
  <si>
    <t xml:space="preserve">8,498.16</t>
  </si>
  <si>
    <t xml:space="preserve">2025-08-09</t>
  </si>
  <si>
    <t xml:space="preserve">JE500346</t>
  </si>
  <si>
    <t xml:space="preserve"> 2,509.03 </t>
  </si>
  <si>
    <t xml:space="preserve">9 Aug 2025</t>
  </si>
  <si>
    <t xml:space="preserve">JE500349</t>
  </si>
  <si>
    <t xml:space="preserve">421.64-</t>
  </si>
  <si>
    <t xml:space="preserve">JE500359</t>
  </si>
  <si>
    <t xml:space="preserve">4,413.13</t>
  </si>
  <si>
    <t xml:space="preserve">JE500371</t>
  </si>
  <si>
    <t xml:space="preserve">11/08/2025</t>
  </si>
  <si>
    <t xml:space="preserve">JE500333</t>
  </si>
  <si>
    <t xml:space="preserve">5,976.16</t>
  </si>
  <si>
    <t xml:space="preserve">2025-08-11</t>
  </si>
  <si>
    <t xml:space="preserve">JE500366</t>
  </si>
  <si>
    <t xml:space="preserve">$5,510.47</t>
  </si>
  <si>
    <t xml:space="preserve">11 Aug 2025</t>
  </si>
  <si>
    <t xml:space="preserve">JE500374</t>
  </si>
  <si>
    <t xml:space="preserve"> 7,549.69 </t>
  </si>
  <si>
    <t xml:space="preserve">JE500341</t>
  </si>
  <si>
    <t xml:space="preserve">6459.4</t>
  </si>
  <si>
    <t xml:space="preserve">12.08.2025</t>
  </si>
  <si>
    <t xml:space="preserve">JE500356</t>
  </si>
  <si>
    <t xml:space="preserve">3,186.06</t>
  </si>
  <si>
    <t xml:space="preserve">13/08/2025</t>
  </si>
  <si>
    <t xml:space="preserve">JE500343</t>
  </si>
  <si>
    <t xml:space="preserve">2025-08-13</t>
  </si>
  <si>
    <t xml:space="preserve">JE500355</t>
  </si>
  <si>
    <t xml:space="preserve">Training Aug</t>
  </si>
  <si>
    <t xml:space="preserve">(496.54)</t>
  </si>
  <si>
    <t xml:space="preserve">14 Aug 2025</t>
  </si>
  <si>
    <t xml:space="preserve">JE500340</t>
  </si>
  <si>
    <t xml:space="preserve">$2,837.22</t>
  </si>
  <si>
    <t xml:space="preserve">JE500345</t>
  </si>
  <si>
    <t xml:space="preserve"> 3,665.34 </t>
  </si>
  <si>
    <t xml:space="preserve">14.08.2025</t>
  </si>
  <si>
    <t xml:space="preserve">JE500362</t>
  </si>
  <si>
    <t xml:space="preserve">510.68-</t>
  </si>
  <si>
    <t xml:space="preserve">15/08/2025</t>
  </si>
  <si>
    <t xml:space="preserve">JE500361</t>
  </si>
  <si>
    <t xml:space="preserve">4,996.56</t>
  </si>
  <si>
    <t xml:space="preserve">2025-08-15</t>
  </si>
  <si>
    <t xml:space="preserve">JE500369</t>
  </si>
  <si>
    <t xml:space="preserve">16 Aug 2025</t>
  </si>
  <si>
    <t xml:space="preserve">JE500364</t>
  </si>
  <si>
    <t xml:space="preserve">3,454.26</t>
  </si>
  <si>
    <t xml:space="preserve">JE500378</t>
  </si>
  <si>
    <t xml:space="preserve">$2,794.59</t>
  </si>
  <si>
    <t xml:space="preserve">17.08.2025</t>
  </si>
  <si>
    <t xml:space="preserve">JE500377</t>
  </si>
  <si>
    <t xml:space="preserve"> 2,872.14 </t>
  </si>
  <si>
    <t xml:space="preserve">18/08/2025</t>
  </si>
  <si>
    <t xml:space="preserve">JE500336</t>
  </si>
  <si>
    <t xml:space="preserve">Cloud hosting Aug</t>
  </si>
  <si>
    <t xml:space="preserve">4202.06</t>
  </si>
  <si>
    <t xml:space="preserve">2025-08-18</t>
  </si>
  <si>
    <t xml:space="preserve">JE500350</t>
  </si>
  <si>
    <t xml:space="preserve">6,927.19</t>
  </si>
  <si>
    <t xml:space="preserve">JE500363</t>
  </si>
  <si>
    <t xml:space="preserve">1,172.26</t>
  </si>
  <si>
    <t xml:space="preserve">19.08.2025</t>
  </si>
  <si>
    <t xml:space="preserve">JE500335</t>
  </si>
  <si>
    <t xml:space="preserve">$4,986.36</t>
  </si>
  <si>
    <t xml:space="preserve">20/08/2025</t>
  </si>
  <si>
    <t xml:space="preserve">JE500360</t>
  </si>
  <si>
    <t xml:space="preserve"> 452.77 </t>
  </si>
  <si>
    <t xml:space="preserve">2025-08-21</t>
  </si>
  <si>
    <t xml:space="preserve">JE500344</t>
  </si>
  <si>
    <t xml:space="preserve">658.88</t>
  </si>
  <si>
    <t xml:space="preserve">22 Aug 2025</t>
  </si>
  <si>
    <t xml:space="preserve">JE500352</t>
  </si>
  <si>
    <t xml:space="preserve">4,909.22</t>
  </si>
  <si>
    <t xml:space="preserve">JE500365</t>
  </si>
  <si>
    <t xml:space="preserve">23.08.2025</t>
  </si>
  <si>
    <t xml:space="preserve">JE500358</t>
  </si>
  <si>
    <t xml:space="preserve">3,799.86</t>
  </si>
  <si>
    <t xml:space="preserve">25/08/2025</t>
  </si>
  <si>
    <t xml:space="preserve">JE500376</t>
  </si>
  <si>
    <t xml:space="preserve">$4,152.42</t>
  </si>
  <si>
    <t xml:space="preserve">2025-08-26</t>
  </si>
  <si>
    <t xml:space="preserve">JE500347</t>
  </si>
  <si>
    <t xml:space="preserve"> 1,890.68 </t>
  </si>
  <si>
    <t xml:space="preserve">26 Aug 2025</t>
  </si>
  <si>
    <t xml:space="preserve">JE500353</t>
  </si>
  <si>
    <t xml:space="preserve">4613.56</t>
  </si>
  <si>
    <t xml:space="preserve">JE500375</t>
  </si>
  <si>
    <t xml:space="preserve">1,910.02</t>
  </si>
  <si>
    <t xml:space="preserve">27.08.2025</t>
  </si>
  <si>
    <t xml:space="preserve">JE500373</t>
  </si>
  <si>
    <t xml:space="preserve">01/09/2025</t>
  </si>
  <si>
    <t xml:space="preserve">JE500391</t>
  </si>
  <si>
    <t xml:space="preserve">Travel Sep</t>
  </si>
  <si>
    <t xml:space="preserve">1,943.22</t>
  </si>
  <si>
    <t xml:space="preserve">2025-09-01</t>
  </si>
  <si>
    <t xml:space="preserve">JE500394</t>
  </si>
  <si>
    <t xml:space="preserve">Audit fees Sep</t>
  </si>
  <si>
    <t xml:space="preserve">$1,243.51</t>
  </si>
  <si>
    <t xml:space="preserve">1 Sep 2025</t>
  </si>
  <si>
    <t xml:space="preserve">JE500415</t>
  </si>
  <si>
    <t xml:space="preserve">Freight Sep</t>
  </si>
  <si>
    <t xml:space="preserve"> 1,980.49 </t>
  </si>
  <si>
    <t xml:space="preserve">JE500384</t>
  </si>
  <si>
    <t xml:space="preserve">Bank charges Sep</t>
  </si>
  <si>
    <t xml:space="preserve">2642.24</t>
  </si>
  <si>
    <t xml:space="preserve">02.09.2025</t>
  </si>
  <si>
    <t xml:space="preserve">JE500433</t>
  </si>
  <si>
    <t xml:space="preserve">Security Sep</t>
  </si>
  <si>
    <t xml:space="preserve">2,697.70</t>
  </si>
  <si>
    <t xml:space="preserve">03/09/2025</t>
  </si>
  <si>
    <t xml:space="preserve">JE500381</t>
  </si>
  <si>
    <t xml:space="preserve">Recruitment Sep</t>
  </si>
  <si>
    <t xml:space="preserve">2025-09-03</t>
  </si>
  <si>
    <t xml:space="preserve">JE500387</t>
  </si>
  <si>
    <t xml:space="preserve">3,238.97</t>
  </si>
  <si>
    <t xml:space="preserve">3 Sep 2025</t>
  </si>
  <si>
    <t xml:space="preserve">JE500422</t>
  </si>
  <si>
    <t xml:space="preserve">$2,554.69</t>
  </si>
  <si>
    <t xml:space="preserve">JE500382</t>
  </si>
  <si>
    <t xml:space="preserve"> 721.60 </t>
  </si>
  <si>
    <t xml:space="preserve">05.09.2025</t>
  </si>
  <si>
    <t xml:space="preserve">JE500379</t>
  </si>
  <si>
    <t xml:space="preserve">Utilities Sep</t>
  </si>
  <si>
    <t xml:space="preserve">6877.23</t>
  </si>
  <si>
    <t xml:space="preserve">05/09/2025</t>
  </si>
  <si>
    <t xml:space="preserve">JE500393</t>
  </si>
  <si>
    <t xml:space="preserve">Advertising Sep</t>
  </si>
  <si>
    <t xml:space="preserve">3,370.73</t>
  </si>
  <si>
    <t xml:space="preserve">2025-09-06</t>
  </si>
  <si>
    <t xml:space="preserve">JE500390</t>
  </si>
  <si>
    <t xml:space="preserve">7 Sep 2025</t>
  </si>
  <si>
    <t xml:space="preserve">JE500407</t>
  </si>
  <si>
    <t xml:space="preserve">5,380.20</t>
  </si>
  <si>
    <t xml:space="preserve">JE500395</t>
  </si>
  <si>
    <t xml:space="preserve">Cloud hosting Sep</t>
  </si>
  <si>
    <t xml:space="preserve">$3,378.82</t>
  </si>
  <si>
    <t xml:space="preserve">08.09.2025</t>
  </si>
  <si>
    <t xml:space="preserve">JE500421</t>
  </si>
  <si>
    <t xml:space="preserve"> 3,606.28 </t>
  </si>
  <si>
    <t xml:space="preserve">09/09/2025</t>
  </si>
  <si>
    <t xml:space="preserve">JE500406</t>
  </si>
  <si>
    <t xml:space="preserve">3550.2</t>
  </si>
  <si>
    <t xml:space="preserve">2025-09-09</t>
  </si>
  <si>
    <t xml:space="preserve">JE500414</t>
  </si>
  <si>
    <t xml:space="preserve">2,006.51</t>
  </si>
  <si>
    <t xml:space="preserve">10 Sep 2025</t>
  </si>
  <si>
    <t xml:space="preserve">JE500420</t>
  </si>
  <si>
    <t xml:space="preserve">JE500426</t>
  </si>
  <si>
    <t xml:space="preserve">2,175.41</t>
  </si>
  <si>
    <t xml:space="preserve">11.09.2025</t>
  </si>
  <si>
    <t xml:space="preserve">JE500396</t>
  </si>
  <si>
    <t xml:space="preserve">$2,498.06</t>
  </si>
  <si>
    <t xml:space="preserve">13/09/2025</t>
  </si>
  <si>
    <t xml:space="preserve">JE500388</t>
  </si>
  <si>
    <t xml:space="preserve"> 7,263.38 </t>
  </si>
  <si>
    <t xml:space="preserve">2025-09-13</t>
  </si>
  <si>
    <t xml:space="preserve">JE500405</t>
  </si>
  <si>
    <t xml:space="preserve">4035.18</t>
  </si>
  <si>
    <t xml:space="preserve">14 Sep 2025</t>
  </si>
  <si>
    <t xml:space="preserve">JE500409</t>
  </si>
  <si>
    <t xml:space="preserve">6,167.93</t>
  </si>
  <si>
    <t xml:space="preserve">JE500411</t>
  </si>
  <si>
    <t xml:space="preserve">15.09.2025</t>
  </si>
  <si>
    <t xml:space="preserve">JE500429</t>
  </si>
  <si>
    <t xml:space="preserve">1,284.82</t>
  </si>
  <si>
    <t xml:space="preserve">16/09/2025</t>
  </si>
  <si>
    <t xml:space="preserve">JE500399</t>
  </si>
  <si>
    <t xml:space="preserve">Training Sep</t>
  </si>
  <si>
    <t xml:space="preserve">$1,838.33</t>
  </si>
  <si>
    <t xml:space="preserve">2025-09-16</t>
  </si>
  <si>
    <t xml:space="preserve">JE500403</t>
  </si>
  <si>
    <t xml:space="preserve"> 1,842.02 </t>
  </si>
  <si>
    <t xml:space="preserve">16 Sep 2025</t>
  </si>
  <si>
    <t xml:space="preserve">JE500404</t>
  </si>
  <si>
    <t xml:space="preserve">80.19</t>
  </si>
  <si>
    <t xml:space="preserve">JE500419</t>
  </si>
  <si>
    <t xml:space="preserve">5,995.98</t>
  </si>
  <si>
    <t xml:space="preserve">17.09.2025</t>
  </si>
  <si>
    <t xml:space="preserve">JE500413</t>
  </si>
  <si>
    <t xml:space="preserve">17/09/2025</t>
  </si>
  <si>
    <t xml:space="preserve">JE500425</t>
  </si>
  <si>
    <t xml:space="preserve">1,251.74</t>
  </si>
  <si>
    <t xml:space="preserve">2025-09-18</t>
  </si>
  <si>
    <t xml:space="preserve">JE500416</t>
  </si>
  <si>
    <t xml:space="preserve">$5,193.38</t>
  </si>
  <si>
    <t xml:space="preserve">18 Sep 2025</t>
  </si>
  <si>
    <t xml:space="preserve">JE500417</t>
  </si>
  <si>
    <t xml:space="preserve">(308.57)</t>
  </si>
  <si>
    <t xml:space="preserve">JE500408</t>
  </si>
  <si>
    <t xml:space="preserve">2132.89</t>
  </si>
  <si>
    <t xml:space="preserve">19.09.2025</t>
  </si>
  <si>
    <t xml:space="preserve">JE500412</t>
  </si>
  <si>
    <t xml:space="preserve">4,267.94</t>
  </si>
  <si>
    <t xml:space="preserve">20/09/2025</t>
  </si>
  <si>
    <t xml:space="preserve">JE500383</t>
  </si>
  <si>
    <t xml:space="preserve">2025-09-20</t>
  </si>
  <si>
    <t xml:space="preserve">JE500397</t>
  </si>
  <si>
    <t xml:space="preserve">523.26</t>
  </si>
  <si>
    <t xml:space="preserve">20 Sep 2025</t>
  </si>
  <si>
    <t xml:space="preserve">JE500418</t>
  </si>
  <si>
    <t xml:space="preserve">$634.00</t>
  </si>
  <si>
    <t xml:space="preserve">JE500423</t>
  </si>
  <si>
    <t xml:space="preserve"> 1,621.43 </t>
  </si>
  <si>
    <t xml:space="preserve">21.09.2025</t>
  </si>
  <si>
    <t xml:space="preserve">JE500398</t>
  </si>
  <si>
    <t xml:space="preserve">5618.63</t>
  </si>
  <si>
    <t xml:space="preserve">22/09/2025</t>
  </si>
  <si>
    <t xml:space="preserve">JE500389</t>
  </si>
  <si>
    <t xml:space="preserve">1,234.71</t>
  </si>
  <si>
    <t xml:space="preserve">2025-09-22</t>
  </si>
  <si>
    <t xml:space="preserve">JE500430</t>
  </si>
  <si>
    <t xml:space="preserve">22 Sep 2025</t>
  </si>
  <si>
    <t xml:space="preserve">JE500432</t>
  </si>
  <si>
    <t xml:space="preserve">6,906.27</t>
  </si>
  <si>
    <t xml:space="preserve">JE500380</t>
  </si>
  <si>
    <t xml:space="preserve">$5,159.17</t>
  </si>
  <si>
    <t xml:space="preserve">23.09.2025</t>
  </si>
  <si>
    <t xml:space="preserve">JE500385</t>
  </si>
  <si>
    <t xml:space="preserve"> 1,068.17 </t>
  </si>
  <si>
    <t xml:space="preserve">23/09/2025</t>
  </si>
  <si>
    <t xml:space="preserve">JE500400</t>
  </si>
  <si>
    <t xml:space="preserve">2877.84</t>
  </si>
  <si>
    <t xml:space="preserve">2025-09-24</t>
  </si>
  <si>
    <t xml:space="preserve">JE500401</t>
  </si>
  <si>
    <t xml:space="preserve">671.66</t>
  </si>
  <si>
    <t xml:space="preserve">24 Sep 2025</t>
  </si>
  <si>
    <t xml:space="preserve">JE500402</t>
  </si>
  <si>
    <t xml:space="preserve">JE500431</t>
  </si>
  <si>
    <t xml:space="preserve">6,984.15</t>
  </si>
  <si>
    <t xml:space="preserve">25.09.2025</t>
  </si>
  <si>
    <t xml:space="preserve">JE500424</t>
  </si>
  <si>
    <t xml:space="preserve">$5,353.82</t>
  </si>
  <si>
    <t xml:space="preserve">25/09/2025</t>
  </si>
  <si>
    <t xml:space="preserve">JE500427</t>
  </si>
  <si>
    <t xml:space="preserve"> 563.74 </t>
  </si>
  <si>
    <t xml:space="preserve">2025-09-26</t>
  </si>
  <si>
    <t xml:space="preserve">JE500386</t>
  </si>
  <si>
    <t xml:space="preserve">3715.79</t>
  </si>
  <si>
    <t xml:space="preserve">28 Sep 2025</t>
  </si>
  <si>
    <t xml:space="preserve">JE500392</t>
  </si>
  <si>
    <t xml:space="preserve">2,064.13</t>
  </si>
  <si>
    <t xml:space="preserve">JE500410</t>
  </si>
  <si>
    <t xml:space="preserve">28.09.2025</t>
  </si>
  <si>
    <t xml:space="preserve">JE500428</t>
  </si>
  <si>
    <t xml:space="preserve">1,730.00</t>
  </si>
  <si>
    <t xml:space="preserve">Subtotal Q3</t>
  </si>
  <si>
    <t xml:space="preserve">488,238.15</t>
  </si>
  <si>
    <t xml:space="preserve">01/10/2025</t>
  </si>
  <si>
    <t xml:space="preserve">JE500442</t>
  </si>
  <si>
    <t xml:space="preserve">Security Oct</t>
  </si>
  <si>
    <t xml:space="preserve">$2,335.53</t>
  </si>
  <si>
    <t xml:space="preserve">2025-10-01</t>
  </si>
  <si>
    <t xml:space="preserve">JE500471</t>
  </si>
  <si>
    <t xml:space="preserve">Recruitment Oct</t>
  </si>
  <si>
    <t xml:space="preserve"> 637.04 </t>
  </si>
  <si>
    <t xml:space="preserve">2 Oct 2025</t>
  </si>
  <si>
    <t xml:space="preserve">JE500477</t>
  </si>
  <si>
    <t xml:space="preserve">Cloud hosting Oct</t>
  </si>
  <si>
    <t xml:space="preserve">2237.28</t>
  </si>
  <si>
    <t xml:space="preserve">JE500479</t>
  </si>
  <si>
    <t xml:space="preserve">Training Oct</t>
  </si>
  <si>
    <t xml:space="preserve">3,442.48</t>
  </si>
  <si>
    <t xml:space="preserve">04.10.2025</t>
  </si>
  <si>
    <t xml:space="preserve">JE500435</t>
  </si>
  <si>
    <t xml:space="preserve">Utilities Oct</t>
  </si>
  <si>
    <t xml:space="preserve">05/10/2025</t>
  </si>
  <si>
    <t xml:space="preserve">JE500440</t>
  </si>
  <si>
    <t xml:space="preserve">2,568.24</t>
  </si>
  <si>
    <t xml:space="preserve">2025-10-05</t>
  </si>
  <si>
    <t xml:space="preserve">JE500445</t>
  </si>
  <si>
    <t xml:space="preserve">Advertising Oct</t>
  </si>
  <si>
    <t xml:space="preserve">$8,103.91</t>
  </si>
  <si>
    <t xml:space="preserve">5 Oct 2025</t>
  </si>
  <si>
    <t xml:space="preserve">JE500457</t>
  </si>
  <si>
    <t xml:space="preserve">Bank charges Oct</t>
  </si>
  <si>
    <t xml:space="preserve"> 979.47 </t>
  </si>
  <si>
    <t xml:space="preserve">JE500464</t>
  </si>
  <si>
    <t xml:space="preserve">Travel Oct</t>
  </si>
  <si>
    <t xml:space="preserve">6215.38</t>
  </si>
  <si>
    <t xml:space="preserve">06.10.2025</t>
  </si>
  <si>
    <t xml:space="preserve">JE500434</t>
  </si>
  <si>
    <t xml:space="preserve">Audit fees Oct</t>
  </si>
  <si>
    <t xml:space="preserve">3,064.61</t>
  </si>
  <si>
    <t xml:space="preserve">06/10/2025</t>
  </si>
  <si>
    <t xml:space="preserve">JE500484</t>
  </si>
  <si>
    <t xml:space="preserve">2025-10-09</t>
  </si>
  <si>
    <t xml:space="preserve">JE500451</t>
  </si>
  <si>
    <t xml:space="preserve">2,156.11</t>
  </si>
  <si>
    <t xml:space="preserve">9 Oct 2025</t>
  </si>
  <si>
    <t xml:space="preserve">JE500480</t>
  </si>
  <si>
    <t xml:space="preserve">$7,137.81</t>
  </si>
  <si>
    <t xml:space="preserve">JE500448</t>
  </si>
  <si>
    <t xml:space="preserve">(99.63)</t>
  </si>
  <si>
    <t xml:space="preserve">11.10.2025</t>
  </si>
  <si>
    <t xml:space="preserve">JE500455</t>
  </si>
  <si>
    <t xml:space="preserve">2407.98</t>
  </si>
  <si>
    <t xml:space="preserve">11/10/2025</t>
  </si>
  <si>
    <t xml:space="preserve">JE500476</t>
  </si>
  <si>
    <t xml:space="preserve">4,708.81</t>
  </si>
  <si>
    <t xml:space="preserve">2025-10-12</t>
  </si>
  <si>
    <t xml:space="preserve">JE500460</t>
  </si>
  <si>
    <t xml:space="preserve">12 Oct 2025</t>
  </si>
  <si>
    <t xml:space="preserve">JE500468</t>
  </si>
  <si>
    <t xml:space="preserve">718.81</t>
  </si>
  <si>
    <t xml:space="preserve">JE500481</t>
  </si>
  <si>
    <t xml:space="preserve">$2,918.31</t>
  </si>
  <si>
    <t xml:space="preserve">13.10.2025</t>
  </si>
  <si>
    <t xml:space="preserve">JE500447</t>
  </si>
  <si>
    <t xml:space="preserve">(481.77)</t>
  </si>
  <si>
    <t xml:space="preserve">13/10/2025</t>
  </si>
  <si>
    <t xml:space="preserve">JE500449</t>
  </si>
  <si>
    <t xml:space="preserve">6088.08</t>
  </si>
  <si>
    <t xml:space="preserve">2025-10-14</t>
  </si>
  <si>
    <t xml:space="preserve">JE500437</t>
  </si>
  <si>
    <t xml:space="preserve">5,190.58</t>
  </si>
  <si>
    <t xml:space="preserve">14 Oct 2025</t>
  </si>
  <si>
    <t xml:space="preserve">JE500466</t>
  </si>
  <si>
    <t xml:space="preserve">JE500463</t>
  </si>
  <si>
    <t xml:space="preserve">3,012.64</t>
  </si>
  <si>
    <t xml:space="preserve">15.10.2025</t>
  </si>
  <si>
    <t xml:space="preserve">JE500472</t>
  </si>
  <si>
    <t xml:space="preserve">$3,219.82</t>
  </si>
  <si>
    <t xml:space="preserve">16/10/2025</t>
  </si>
  <si>
    <t xml:space="preserve">JE500453</t>
  </si>
  <si>
    <t xml:space="preserve"> 3,311.41 </t>
  </si>
  <si>
    <t xml:space="preserve">2025-10-16</t>
  </si>
  <si>
    <t xml:space="preserve">JE500475</t>
  </si>
  <si>
    <t xml:space="preserve">5870.1</t>
  </si>
  <si>
    <t xml:space="preserve">16 Oct 2025</t>
  </si>
  <si>
    <t xml:space="preserve">JE500478</t>
  </si>
  <si>
    <t xml:space="preserve">1,036.68</t>
  </si>
  <si>
    <t xml:space="preserve">JE500458</t>
  </si>
  <si>
    <t xml:space="preserve">17.10.2025</t>
  </si>
  <si>
    <t xml:space="preserve">JE500485</t>
  </si>
  <si>
    <t xml:space="preserve">Freight Oct</t>
  </si>
  <si>
    <t xml:space="preserve">5,241.51</t>
  </si>
  <si>
    <t xml:space="preserve">18/10/2025</t>
  </si>
  <si>
    <t xml:space="preserve">JE500444</t>
  </si>
  <si>
    <t xml:space="preserve">$7,831.19</t>
  </si>
  <si>
    <t xml:space="preserve">2025-10-19</t>
  </si>
  <si>
    <t xml:space="preserve">JE500443</t>
  </si>
  <si>
    <t xml:space="preserve"> 749.77 </t>
  </si>
  <si>
    <t xml:space="preserve">19 Oct 2025</t>
  </si>
  <si>
    <t xml:space="preserve">JE500467</t>
  </si>
  <si>
    <t xml:space="preserve">4750.92</t>
  </si>
  <si>
    <t xml:space="preserve">JE500446</t>
  </si>
  <si>
    <t xml:space="preserve">3,971.87</t>
  </si>
  <si>
    <t xml:space="preserve">20.10.2025</t>
  </si>
  <si>
    <t xml:space="preserve">JE500462</t>
  </si>
  <si>
    <t xml:space="preserve">20/10/2025</t>
  </si>
  <si>
    <t xml:space="preserve">JE500470</t>
  </si>
  <si>
    <t xml:space="preserve">8,691.20</t>
  </si>
  <si>
    <t xml:space="preserve">2025-10-21</t>
  </si>
  <si>
    <t xml:space="preserve">JE500441</t>
  </si>
  <si>
    <t xml:space="preserve">$909.88</t>
  </si>
  <si>
    <t xml:space="preserve">22 Oct 2025</t>
  </si>
  <si>
    <t xml:space="preserve">JE500473</t>
  </si>
  <si>
    <t xml:space="preserve"> 5,428.69 </t>
  </si>
  <si>
    <t xml:space="preserve">JE500456</t>
  </si>
  <si>
    <t xml:space="preserve">2470.61</t>
  </si>
  <si>
    <t xml:space="preserve">24.10.2025</t>
  </si>
  <si>
    <t xml:space="preserve">JE500483</t>
  </si>
  <si>
    <t xml:space="preserve">1,077.87</t>
  </si>
  <si>
    <t xml:space="preserve">25/10/2025</t>
  </si>
  <si>
    <t xml:space="preserve">JE500436</t>
  </si>
  <si>
    <t xml:space="preserve">2025-10-25</t>
  </si>
  <si>
    <t xml:space="preserve">JE500452</t>
  </si>
  <si>
    <t xml:space="preserve">5,470.13</t>
  </si>
  <si>
    <t xml:space="preserve">25 Oct 2025</t>
  </si>
  <si>
    <t xml:space="preserve">JE500465</t>
  </si>
  <si>
    <t xml:space="preserve">$2,895.15</t>
  </si>
  <si>
    <t xml:space="preserve">JE500482</t>
  </si>
  <si>
    <t xml:space="preserve"> 2,543.43 </t>
  </si>
  <si>
    <t xml:space="preserve">26.10.2025</t>
  </si>
  <si>
    <t xml:space="preserve">JE500450</t>
  </si>
  <si>
    <t xml:space="preserve">6279.76</t>
  </si>
  <si>
    <t xml:space="preserve">26/10/2025</t>
  </si>
  <si>
    <t xml:space="preserve">JE500469</t>
  </si>
  <si>
    <t xml:space="preserve">1,715.70</t>
  </si>
  <si>
    <t xml:space="preserve">2025-10-27</t>
  </si>
  <si>
    <t xml:space="preserve">JE500438</t>
  </si>
  <si>
    <t xml:space="preserve">27 Oct 2025</t>
  </si>
  <si>
    <t xml:space="preserve">JE500439</t>
  </si>
  <si>
    <t xml:space="preserve">4,461.48</t>
  </si>
  <si>
    <t xml:space="preserve">JE500461</t>
  </si>
  <si>
    <t xml:space="preserve">$367.75</t>
  </si>
  <si>
    <t xml:space="preserve">28.10.2025</t>
  </si>
  <si>
    <t xml:space="preserve">JE500454</t>
  </si>
  <si>
    <t xml:space="preserve"> 1,438.95 </t>
  </si>
  <si>
    <t xml:space="preserve">28/10/2025</t>
  </si>
  <si>
    <t xml:space="preserve">JE500459</t>
  </si>
  <si>
    <t xml:space="preserve">2248.61</t>
  </si>
  <si>
    <t xml:space="preserve">2025-10-28</t>
  </si>
  <si>
    <t xml:space="preserve">JE500474</t>
  </si>
  <si>
    <t xml:space="preserve">2,296.68</t>
  </si>
  <si>
    <t xml:space="preserve">2 Nov 2025</t>
  </si>
  <si>
    <t xml:space="preserve">JE500486</t>
  </si>
  <si>
    <t xml:space="preserve">Freight Nov</t>
  </si>
  <si>
    <t xml:space="preserve">JE500525</t>
  </si>
  <si>
    <t xml:space="preserve">5,172.63</t>
  </si>
  <si>
    <t xml:space="preserve">04.11.2025</t>
  </si>
  <si>
    <t xml:space="preserve">JE500498</t>
  </si>
  <si>
    <t xml:space="preserve">Cloud hosting Nov</t>
  </si>
  <si>
    <t xml:space="preserve">$5,707.07</t>
  </si>
  <si>
    <t xml:space="preserve">04/11/2025</t>
  </si>
  <si>
    <t xml:space="preserve">JE500506</t>
  </si>
  <si>
    <t xml:space="preserve">FastFreight   </t>
  </si>
  <si>
    <t xml:space="preserve">(594.22)</t>
  </si>
  <si>
    <t xml:space="preserve">2025-11-06</t>
  </si>
  <si>
    <t xml:space="preserve">JE500496</t>
  </si>
  <si>
    <t xml:space="preserve">Utilities Nov</t>
  </si>
  <si>
    <t xml:space="preserve">327.06-</t>
  </si>
  <si>
    <t xml:space="preserve">6 Nov 2025</t>
  </si>
  <si>
    <t xml:space="preserve">JE500501</t>
  </si>
  <si>
    <t xml:space="preserve">6,267.67</t>
  </si>
  <si>
    <t xml:space="preserve">JE500507</t>
  </si>
  <si>
    <t xml:space="preserve">07.11.2025</t>
  </si>
  <si>
    <t xml:space="preserve">JE500519</t>
  </si>
  <si>
    <t xml:space="preserve">366.54</t>
  </si>
  <si>
    <t xml:space="preserve">08/11/2025</t>
  </si>
  <si>
    <t xml:space="preserve">JE500499</t>
  </si>
  <si>
    <t xml:space="preserve">$4,367.07</t>
  </si>
  <si>
    <t xml:space="preserve">2025-11-08</t>
  </si>
  <si>
    <t xml:space="preserve">JE500511</t>
  </si>
  <si>
    <t xml:space="preserve"> 5,227.61 </t>
  </si>
  <si>
    <t xml:space="preserve">8 Nov 2025</t>
  </si>
  <si>
    <t xml:space="preserve">JE500516</t>
  </si>
  <si>
    <t xml:space="preserve">372.93</t>
  </si>
  <si>
    <t xml:space="preserve">JE500529</t>
  </si>
  <si>
    <t xml:space="preserve">Training Nov</t>
  </si>
  <si>
    <t xml:space="preserve">626.94</t>
  </si>
  <si>
    <t xml:space="preserve">10.11.2025</t>
  </si>
  <si>
    <t xml:space="preserve">JE500490</t>
  </si>
  <si>
    <t xml:space="preserve">Travel Nov</t>
  </si>
  <si>
    <t xml:space="preserve">10/11/2025</t>
  </si>
  <si>
    <t xml:space="preserve">JE500504</t>
  </si>
  <si>
    <t xml:space="preserve">Audit fees Nov</t>
  </si>
  <si>
    <t xml:space="preserve">3,524.53</t>
  </si>
  <si>
    <t xml:space="preserve">2025-11-11</t>
  </si>
  <si>
    <t xml:space="preserve">JE500503</t>
  </si>
  <si>
    <t xml:space="preserve">$3,586.62</t>
  </si>
  <si>
    <t xml:space="preserve">11 Nov 2025</t>
  </si>
  <si>
    <t xml:space="preserve">JE500512</t>
  </si>
  <si>
    <t xml:space="preserve"> 3,481.12 </t>
  </si>
  <si>
    <t xml:space="preserve">JE500510</t>
  </si>
  <si>
    <t xml:space="preserve">Security Nov</t>
  </si>
  <si>
    <t xml:space="preserve">2984.34</t>
  </si>
  <si>
    <t xml:space="preserve">12.11.2025</t>
  </si>
  <si>
    <t xml:space="preserve">JE500518</t>
  </si>
  <si>
    <t xml:space="preserve">Advertising Nov</t>
  </si>
  <si>
    <t xml:space="preserve">8,413.52</t>
  </si>
  <si>
    <t xml:space="preserve">12/11/2025</t>
  </si>
  <si>
    <t xml:space="preserve">2025-11-13</t>
  </si>
  <si>
    <t xml:space="preserve">JE500505</t>
  </si>
  <si>
    <t xml:space="preserve">1,992.29</t>
  </si>
  <si>
    <t xml:space="preserve">13 Nov 2025</t>
  </si>
  <si>
    <t xml:space="preserve">JE500521</t>
  </si>
  <si>
    <t xml:space="preserve">$4,722.79</t>
  </si>
  <si>
    <t xml:space="preserve">JE500513</t>
  </si>
  <si>
    <t xml:space="preserve"> 5,850.53 </t>
  </si>
  <si>
    <t xml:space="preserve">14.11.2025</t>
  </si>
  <si>
    <t xml:space="preserve">JE500515</t>
  </si>
  <si>
    <t xml:space="preserve">6436.11</t>
  </si>
  <si>
    <t xml:space="preserve">15/11/2025</t>
  </si>
  <si>
    <t xml:space="preserve">JE500492</t>
  </si>
  <si>
    <t xml:space="preserve">326.63</t>
  </si>
  <si>
    <t xml:space="preserve">2025-11-15</t>
  </si>
  <si>
    <t xml:space="preserve">JE500509</t>
  </si>
  <si>
    <t xml:space="preserve">15 Nov 2025</t>
  </si>
  <si>
    <t xml:space="preserve">JE500514</t>
  </si>
  <si>
    <t xml:space="preserve">6,668.35</t>
  </si>
  <si>
    <t xml:space="preserve">JE500493</t>
  </si>
  <si>
    <t xml:space="preserve">$5,670.46</t>
  </si>
  <si>
    <t xml:space="preserve">16.11.2025</t>
  </si>
  <si>
    <t xml:space="preserve">JE500520</t>
  </si>
  <si>
    <t xml:space="preserve">Recruitment Nov</t>
  </si>
  <si>
    <t xml:space="preserve"> 284.01 </t>
  </si>
  <si>
    <t xml:space="preserve">16/11/2025</t>
  </si>
  <si>
    <t xml:space="preserve">JE500523</t>
  </si>
  <si>
    <t xml:space="preserve">1987.08</t>
  </si>
  <si>
    <t xml:space="preserve">2025-11-17</t>
  </si>
  <si>
    <t xml:space="preserve">JE500488</t>
  </si>
  <si>
    <t xml:space="preserve">5,723.19</t>
  </si>
  <si>
    <t xml:space="preserve">18 Nov 2025</t>
  </si>
  <si>
    <t xml:space="preserve">JE500487</t>
  </si>
  <si>
    <t xml:space="preserve">JE500491</t>
  </si>
  <si>
    <t xml:space="preserve">949.56</t>
  </si>
  <si>
    <t xml:space="preserve">19.11.2025</t>
  </si>
  <si>
    <t xml:space="preserve">JE500526</t>
  </si>
  <si>
    <t xml:space="preserve">$5,748.09</t>
  </si>
  <si>
    <t xml:space="preserve">20/11/2025</t>
  </si>
  <si>
    <t xml:space="preserve">JE500500</t>
  </si>
  <si>
    <t xml:space="preserve"> 2,232.24 </t>
  </si>
  <si>
    <t xml:space="preserve">2025-11-20</t>
  </si>
  <si>
    <t xml:space="preserve">JE500528</t>
  </si>
  <si>
    <t xml:space="preserve">1248.95</t>
  </si>
  <si>
    <t xml:space="preserve">21 Nov 2025</t>
  </si>
  <si>
    <t xml:space="preserve">JE500502</t>
  </si>
  <si>
    <t xml:space="preserve">3,775.13</t>
  </si>
  <si>
    <t xml:space="preserve">JE500508</t>
  </si>
  <si>
    <t xml:space="preserve">21.11.2025</t>
  </si>
  <si>
    <t xml:space="preserve">JE500527</t>
  </si>
  <si>
    <t xml:space="preserve">7,810.04</t>
  </si>
  <si>
    <t xml:space="preserve">22/11/2025</t>
  </si>
  <si>
    <t xml:space="preserve">JE500524</t>
  </si>
  <si>
    <t xml:space="preserve">$583.13</t>
  </si>
  <si>
    <t xml:space="preserve">2025-11-23</t>
  </si>
  <si>
    <t xml:space="preserve">JE500522</t>
  </si>
  <si>
    <t xml:space="preserve"> 780.55 </t>
  </si>
  <si>
    <t xml:space="preserve">24 Nov 2025</t>
  </si>
  <si>
    <t xml:space="preserve">JE500497</t>
  </si>
  <si>
    <t xml:space="preserve">5880.21</t>
  </si>
  <si>
    <t xml:space="preserve">JE500489</t>
  </si>
  <si>
    <t xml:space="preserve">3,654.03</t>
  </si>
  <si>
    <t xml:space="preserve">26.11.2025</t>
  </si>
  <si>
    <t xml:space="preserve">JE500495</t>
  </si>
  <si>
    <t xml:space="preserve">26/11/2025</t>
  </si>
  <si>
    <t xml:space="preserve">JE500517</t>
  </si>
  <si>
    <t xml:space="preserve">5,031.18</t>
  </si>
  <si>
    <t xml:space="preserve">2025-11-28</t>
  </si>
  <si>
    <t xml:space="preserve">JE500494</t>
  </si>
  <si>
    <t xml:space="preserve">$4,207.68</t>
  </si>
  <si>
    <t xml:space="preserve">1 Dec 2025</t>
  </si>
  <si>
    <t xml:space="preserve">JE500557</t>
  </si>
  <si>
    <t xml:space="preserve">Utilities Dec</t>
  </si>
  <si>
    <t xml:space="preserve"> 1,892.62 </t>
  </si>
  <si>
    <t xml:space="preserve">JE500540</t>
  </si>
  <si>
    <t xml:space="preserve">Advertising Dec</t>
  </si>
  <si>
    <t xml:space="preserve">2708.4</t>
  </si>
  <si>
    <t xml:space="preserve">02.12.2025</t>
  </si>
  <si>
    <t xml:space="preserve">JE500551</t>
  </si>
  <si>
    <t xml:space="preserve">Bank charges Dec</t>
  </si>
  <si>
    <t xml:space="preserve">1,800.23</t>
  </si>
  <si>
    <t xml:space="preserve">04/12/2025</t>
  </si>
  <si>
    <t xml:space="preserve">JE500553</t>
  </si>
  <si>
    <t xml:space="preserve">Audit fees Dec</t>
  </si>
  <si>
    <t xml:space="preserve">2025-12-04</t>
  </si>
  <si>
    <t xml:space="preserve">JE500567</t>
  </si>
  <si>
    <t xml:space="preserve">1,914.49</t>
  </si>
  <si>
    <t xml:space="preserve">7 Dec 2025</t>
  </si>
  <si>
    <t xml:space="preserve">JE500531</t>
  </si>
  <si>
    <t xml:space="preserve">Travel Dec</t>
  </si>
  <si>
    <t xml:space="preserve">$4,806.57</t>
  </si>
  <si>
    <t xml:space="preserve">JE500563</t>
  </si>
  <si>
    <t xml:space="preserve"> 6,249.17 </t>
  </si>
  <si>
    <t xml:space="preserve">08.12.2025</t>
  </si>
  <si>
    <t xml:space="preserve">JE500545</t>
  </si>
  <si>
    <t xml:space="preserve">4877.65</t>
  </si>
  <si>
    <t xml:space="preserve">08/12/2025</t>
  </si>
  <si>
    <t xml:space="preserve">JE500554</t>
  </si>
  <si>
    <t xml:space="preserve">Freight Dec</t>
  </si>
  <si>
    <t xml:space="preserve">647.61</t>
  </si>
  <si>
    <t xml:space="preserve">2025-12-08</t>
  </si>
  <si>
    <t xml:space="preserve">JE500566</t>
  </si>
  <si>
    <t xml:space="preserve">10 Dec 2025</t>
  </si>
  <si>
    <t xml:space="preserve">JE500536</t>
  </si>
  <si>
    <t xml:space="preserve">Training Dec</t>
  </si>
  <si>
    <t xml:space="preserve">2,558.22</t>
  </si>
  <si>
    <t xml:space="preserve">JE500541</t>
  </si>
  <si>
    <t xml:space="preserve">$3,848.89</t>
  </si>
  <si>
    <t xml:space="preserve">10.12.2025</t>
  </si>
  <si>
    <t xml:space="preserve">JE500549</t>
  </si>
  <si>
    <t xml:space="preserve"> 602.70 </t>
  </si>
  <si>
    <t xml:space="preserve">12/12/2025</t>
  </si>
  <si>
    <t xml:space="preserve">JE500565</t>
  </si>
  <si>
    <t xml:space="preserve">1156.91</t>
  </si>
  <si>
    <t xml:space="preserve">2025-12-13</t>
  </si>
  <si>
    <t xml:space="preserve">JE500564</t>
  </si>
  <si>
    <t xml:space="preserve">Cloud hosting Dec</t>
  </si>
  <si>
    <t xml:space="preserve">750.32</t>
  </si>
  <si>
    <t xml:space="preserve">13 Dec 2025</t>
  </si>
  <si>
    <t xml:space="preserve">JE500569</t>
  </si>
  <si>
    <t xml:space="preserve">JE500539</t>
  </si>
  <si>
    <t xml:space="preserve">Recruitment Dec</t>
  </si>
  <si>
    <t xml:space="preserve">3,558.83</t>
  </si>
  <si>
    <t xml:space="preserve">14.12.2025</t>
  </si>
  <si>
    <t xml:space="preserve">JE500542</t>
  </si>
  <si>
    <t xml:space="preserve">$7,998.41</t>
  </si>
  <si>
    <t xml:space="preserve">15/12/2025</t>
  </si>
  <si>
    <t xml:space="preserve">JE500537</t>
  </si>
  <si>
    <t xml:space="preserve"> 3,944.15 </t>
  </si>
  <si>
    <t xml:space="preserve">2025-12-15</t>
  </si>
  <si>
    <t xml:space="preserve">JE500550</t>
  </si>
  <si>
    <t xml:space="preserve">5536.14</t>
  </si>
  <si>
    <t xml:space="preserve">16 Dec 2025</t>
  </si>
  <si>
    <t xml:space="preserve">JE500560</t>
  </si>
  <si>
    <t xml:space="preserve">4,585.50</t>
  </si>
  <si>
    <t xml:space="preserve">JE500562</t>
  </si>
  <si>
    <t xml:space="preserve">17.12.2025</t>
  </si>
  <si>
    <t xml:space="preserve">JE500555</t>
  </si>
  <si>
    <t xml:space="preserve">247.58</t>
  </si>
  <si>
    <t xml:space="preserve">17/12/2025</t>
  </si>
  <si>
    <t xml:space="preserve">JE500556</t>
  </si>
  <si>
    <t xml:space="preserve">$3,349.97</t>
  </si>
  <si>
    <t xml:space="preserve">2025-12-18</t>
  </si>
  <si>
    <t xml:space="preserve">JE500535</t>
  </si>
  <si>
    <t xml:space="preserve"> 2,237.24 </t>
  </si>
  <si>
    <t xml:space="preserve">18 Dec 2025</t>
  </si>
  <si>
    <t xml:space="preserve">JE500558</t>
  </si>
  <si>
    <t xml:space="preserve">1648.39</t>
  </si>
  <si>
    <t xml:space="preserve">JE500548</t>
  </si>
  <si>
    <t xml:space="preserve">394.72</t>
  </si>
  <si>
    <t xml:space="preserve">19.12.2025</t>
  </si>
  <si>
    <t xml:space="preserve">JE500552</t>
  </si>
  <si>
    <t xml:space="preserve">19/12/2025</t>
  </si>
  <si>
    <t xml:space="preserve">JE500559</t>
  </si>
  <si>
    <t xml:space="preserve">7,996.88</t>
  </si>
  <si>
    <t xml:space="preserve">2025-12-20</t>
  </si>
  <si>
    <t xml:space="preserve">JE500530</t>
  </si>
  <si>
    <t xml:space="preserve">$3,709.30</t>
  </si>
  <si>
    <t xml:space="preserve">21 Dec 2025</t>
  </si>
  <si>
    <t xml:space="preserve">JE500533</t>
  </si>
  <si>
    <t xml:space="preserve"> 4,888.75 </t>
  </si>
  <si>
    <t xml:space="preserve">JE500546</t>
  </si>
  <si>
    <t xml:space="preserve">5447.13</t>
  </si>
  <si>
    <t xml:space="preserve">23.12.2025</t>
  </si>
  <si>
    <t xml:space="preserve">JE500561</t>
  </si>
  <si>
    <t xml:space="preserve">1,314.24</t>
  </si>
  <si>
    <t xml:space="preserve">24/12/2025</t>
  </si>
  <si>
    <t xml:space="preserve">JE500543</t>
  </si>
  <si>
    <t xml:space="preserve">2025-12-25</t>
  </si>
  <si>
    <t xml:space="preserve">JE500532</t>
  </si>
  <si>
    <t xml:space="preserve">1,259.41</t>
  </si>
  <si>
    <t xml:space="preserve">25 Dec 2025</t>
  </si>
  <si>
    <t xml:space="preserve">JE500568</t>
  </si>
  <si>
    <t xml:space="preserve">$4,212.09</t>
  </si>
  <si>
    <t xml:space="preserve">JE500538</t>
  </si>
  <si>
    <t xml:space="preserve"> 545.33 </t>
  </si>
  <si>
    <t xml:space="preserve">27.12.2025</t>
  </si>
  <si>
    <t xml:space="preserve">JE500544</t>
  </si>
  <si>
    <t xml:space="preserve">86.72</t>
  </si>
  <si>
    <t xml:space="preserve">27/12/2025</t>
  </si>
  <si>
    <t xml:space="preserve">JE500547</t>
  </si>
  <si>
    <t xml:space="preserve">4,348.29</t>
  </si>
  <si>
    <t xml:space="preserve">2025-12-28</t>
  </si>
  <si>
    <t xml:space="preserve">JE500534</t>
  </si>
  <si>
    <t xml:space="preserve">Security Dec</t>
  </si>
  <si>
    <t xml:space="preserve">Subtotal Q4</t>
  </si>
  <si>
    <t xml:space="preserve">458,299.83</t>
  </si>
  <si>
    <t xml:space="preserve">Drill 2 - Clean the GL export (weeks 4-5)</t>
  </si>
  <si>
    <t xml:space="preserve">Source: Raw GL Export tab. Do not edit the raw tab.</t>
  </si>
  <si>
    <t xml:space="preserve">1. Part A (formulas, week 4): create two new tabs named exactly  Clean  and  Change Log.</t>
  </si>
  <si>
    <t xml:space="preserve">2. Clean tab: one header row in A1:I1 = Posting Date | Doc No | Vendor Code | Vendor | Cost Centre | GL Account | Description | Amount | Flag. Data from row 2, nothing below it.</t>
  </si>
  <si>
    <t xml:space="preserve">3. Remove: the report title lines, repeated header rows, blank rows, 'Subtotal' rows, and exact duplicate rows.</t>
  </si>
  <si>
    <t xml:space="preserve">4. Dates: convert all to real dates. The export is DAY-FIRST (look for a value like 25/03/2025 to prove it).</t>
  </si>
  <si>
    <t xml:space="preserve">5. Amounts: real numbers. (300.00) and 300.00- are negatives. Strip $, commas, spaces and non-breaking spaces (CHAR(160)).</t>
  </si>
  <si>
    <t xml:space="preserve">6. Vendor Code: text with 5 digits and leading zeros kept (123 must become 00123). Vendor: trim spaces incl. CHAR(160).</t>
  </si>
  <si>
    <t xml:space="preserve">7. Cost Centre: map every variant to one of Finance, Sales, Operations, IT, HR. Log each mapping.</t>
  </si>
  <si>
    <t xml:space="preserve">8. Doc No appearing twice with DIFFERENT amounts: keep both, write 'Check: duplicate Doc No' in Flag. Do not delete.</t>
  </si>
  <si>
    <t xml:space="preserve">9. Change Log tab: Rule | Rows or cells affected | Example old value | New value. Finish with rows in / rows out.</t>
  </si>
  <si>
    <t xml:space="preserve">10. Part B (Power Query, week 5): repeat the whole clean in Power Query (Data &gt; From Table/Range or From Sheet), load it to a tab named Clean PQ, and confirm it gives the same checks.</t>
  </si>
  <si>
    <t xml:space="preserve">CHECK (reads your Clean tab once it exists)</t>
  </si>
  <si>
    <t xml:space="preserve">Rows in Clean (excl. header)</t>
  </si>
  <si>
    <t xml:space="preserve">Total Amount</t>
  </si>
  <si>
    <t xml:space="preserve">Amounts still stored as text</t>
  </si>
  <si>
    <t xml:space="preserve">Dates still stored as text</t>
  </si>
  <si>
    <t xml:space="preserve">Rows flagged 'Check: duplicate Doc No'</t>
  </si>
  <si>
    <t xml:space="preserve">Distinct cost centres used</t>
  </si>
  <si>
    <t xml:space="preserve">Total Amount - Finance</t>
  </si>
  <si>
    <t xml:space="preserve">Total Amount - Sales</t>
  </si>
  <si>
    <t xml:space="preserve">Total Amount - Operations</t>
  </si>
  <si>
    <t xml:space="preserve">Total Amount - IT</t>
  </si>
  <si>
    <t xml:space="preserve">Total Amount - HR</t>
  </si>
  <si>
    <t xml:space="preserve">The raw tab has 600 rows including title lines. Your Change Log must explain every row that did not make it to Clean.</t>
  </si>
  <si>
    <t xml:space="preserve">Control totals: computed from the underlying ledger when this workbook was generated (think of them as the trial balance).</t>
  </si>
  <si>
    <t xml:space="preserve">Checks use INDIRECT so they stay quiet (show -) until your Clean tab exists. Name the tab exactly 'Clean' and start data in row 2.</t>
  </si>
  <si>
    <t xml:space="preserve">2025 expense budget by cost centre</t>
  </si>
  <si>
    <t xml:space="preserve">Source: fictional board-approved budget, created for this exercise. $.</t>
  </si>
  <si>
    <t xml:space="preserve">FY2025 budget</t>
  </si>
  <si>
    <t xml:space="preserve">Drill 3 - Which cost centre overspent most? (week 6)</t>
  </si>
  <si>
    <t xml:space="preserve">Source: your Clean tab + Budget tab.</t>
  </si>
  <si>
    <t xml:space="preserve">1) Insert a native PivotTable from your Clean tab (Ctrl+T first so it grows) on a new tab named Pivot: Rows = Cost Centre, Values = Sum of Amount. Link its grand total into B16 (type = then click the pivot's grand total cell). 2) Fill C7:C11 with SUMIFS on the Clean tab. 3) Fill D7:E11 with variance and variance %. 4) Answer the question in B19.</t>
  </si>
  <si>
    <t xml:space="preserve">Actual (SUMIFS)</t>
  </si>
  <si>
    <t xml:space="preserve">Variance (Actual - Budget)</t>
  </si>
  <si>
    <t xml:space="preserve">Variance %</t>
  </si>
  <si>
    <t xml:space="preserve">Actual total (C12)</t>
  </si>
  <si>
    <t xml:space="preserve">Pivot grand total (link it)</t>
  </si>
  <si>
    <t xml:space="preserve">Pivot total = SUMIFS total</t>
  </si>
  <si>
    <t xml:space="preserve">Answer: which cost centre overspent most, by how much ($ and %)?</t>
  </si>
  <si>
    <t xml:space="preserve">Is the biggest overspend in $ the same as the biggest in %? Which would you report first, and why?</t>
  </si>
  <si>
    <t xml:space="preserve">Pass criteria: all checks PASS; pivot and SUMIFS agree to the cent; the answer names the cost centre, the $ variance and the %.</t>
  </si>
  <si>
    <t xml:space="preserve">Progress log</t>
  </si>
  <si>
    <t xml:space="preserve">Update after each session. Paste this table back to Claude at each checkpoint.</t>
  </si>
  <si>
    <t xml:space="preserve">Competency</t>
  </si>
  <si>
    <t xml:space="preserve">Week(s)</t>
  </si>
  <si>
    <t xml:space="preserve">Status</t>
  </si>
  <si>
    <t xml:space="preserve">Evidence (tab / date)</t>
  </si>
  <si>
    <t xml:space="preserve">Next action</t>
  </si>
  <si>
    <t xml:space="preserve">Keyboard drill</t>
  </si>
  <si>
    <t xml:space="preserve">Not started</t>
  </si>
  <si>
    <t xml:space="preserve">1A SUMIFS grid</t>
  </si>
  <si>
    <t xml:space="preserve">1-2</t>
  </si>
  <si>
    <t xml:space="preserve">1B XLOOKUP category</t>
  </si>
  <si>
    <t xml:space="preserve">1C IFNA</t>
  </si>
  <si>
    <t xml:space="preserve">2-3</t>
  </si>
  <si>
    <t xml:space="preserve">1D Mixed references</t>
  </si>
  <si>
    <t xml:space="preserve">Checkpoint 1 (grade)</t>
  </si>
  <si>
    <t xml:space="preserve">2A Clean with formulas</t>
  </si>
  <si>
    <t xml:space="preserve">2B Clean with Power Query</t>
  </si>
  <si>
    <t xml:space="preserve">3 Pivot + reconciliation</t>
  </si>
  <si>
    <t xml:space="preserve">Checkpoint 2 (grade)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</si>
</sst>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dd\-mmm\-yyyy"/>
    <numFmt numFmtId="167" formatCode="0%"/>
    <numFmt numFmtId="168" formatCode="mmm\-yy"/>
    <numFmt numFmtId="169" formatCode="#,##0;\(#,##0\);\-"/>
    <numFmt numFmtId="170" formatCode="0.0%"/>
    <numFmt numFmtId="171" formatCode="dd/mm/yyyy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  <fill>
      <patternFill patternType="solid">
        <fgColor rgb="FFD9D9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66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Sales" displayName="tblSales" ref="A1:I1169" headerRowCount="1" totalsRowCount="0" totalsRowShown="0">
  <autoFilter ref="A1:I1169"/>
  <tableColumns count="9">
    <tableColumn id="1" name="Date"/>
    <tableColumn id="2" name="Invoice"/>
    <tableColumn id="3" name="Product"/>
    <tableColumn id="4" name="Region"/>
    <tableColumn id="5" name="Qty"/>
    <tableColumn id="6" name="Unit price"/>
    <tableColumn id="7" name="Discount"/>
    <tableColumn id="8" name="Amount"/>
    <tableColumn id="9" name="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A5" s="5" t="s">
        <v>3</v>
      </c>
      <c r="C5" s="6" t="s">
        <v>4</v>
      </c>
    </row>
    <row r="6" customFormat="false" ht="15" hidden="false" customHeight="false" outlineLevel="0" collapsed="false">
      <c r="A6" s="5" t="s">
        <v>5</v>
      </c>
      <c r="C6" s="6" t="s">
        <v>6</v>
      </c>
    </row>
    <row r="7" customFormat="false" ht="15" hidden="false" customHeight="false" outlineLevel="0" collapsed="false">
      <c r="A7" s="5" t="s">
        <v>7</v>
      </c>
      <c r="C7" s="6" t="s">
        <v>8</v>
      </c>
    </row>
    <row r="8" customFormat="false" ht="15" hidden="false" customHeight="false" outlineLevel="0" collapsed="false">
      <c r="A8" s="5" t="s">
        <v>9</v>
      </c>
      <c r="C8" s="6" t="s">
        <v>10</v>
      </c>
    </row>
    <row r="9" customFormat="false" ht="15" hidden="false" customHeight="false" outlineLevel="0" collapsed="false">
      <c r="A9" s="5" t="s">
        <v>11</v>
      </c>
      <c r="C9" s="6" t="s">
        <v>12</v>
      </c>
    </row>
    <row r="10" customFormat="false" ht="15" hidden="false" customHeight="false" outlineLevel="0" collapsed="false">
      <c r="A10" s="5" t="s">
        <v>13</v>
      </c>
      <c r="C10" s="6" t="s">
        <v>14</v>
      </c>
    </row>
    <row r="12" customFormat="false" ht="15" hidden="false" customHeight="false" outlineLevel="0" collapsed="false">
      <c r="B12" s="4" t="s">
        <v>15</v>
      </c>
    </row>
    <row r="13" customFormat="false" ht="15" hidden="false" customHeight="false" outlineLevel="0" collapsed="false">
      <c r="B13" s="7" t="s">
        <v>16</v>
      </c>
      <c r="C13" s="5" t="s">
        <v>17</v>
      </c>
    </row>
    <row r="14" customFormat="false" ht="15" hidden="false" customHeight="false" outlineLevel="0" collapsed="false">
      <c r="B14" s="8" t="s">
        <v>18</v>
      </c>
      <c r="C14" s="5" t="s">
        <v>19</v>
      </c>
    </row>
    <row r="15" customFormat="false" ht="15" hidden="false" customHeight="false" outlineLevel="0" collapsed="false">
      <c r="B15" s="9" t="s">
        <v>20</v>
      </c>
      <c r="C15" s="5" t="s">
        <v>21</v>
      </c>
    </row>
    <row r="16" customFormat="false" ht="15" hidden="false" customHeight="false" outlineLevel="0" collapsed="false">
      <c r="B16" s="10" t="s">
        <v>22</v>
      </c>
      <c r="C16" s="5" t="s">
        <v>23</v>
      </c>
    </row>
    <row r="17" customFormat="false" ht="15" hidden="false" customHeight="false" outlineLevel="0" collapsed="false">
      <c r="B17" s="11" t="s">
        <v>24</v>
      </c>
      <c r="C17" s="5" t="s">
        <v>25</v>
      </c>
    </row>
    <row r="19" customFormat="false" ht="15" hidden="false" customHeight="false" outlineLevel="0" collapsed="false">
      <c r="B19" s="4" t="s">
        <v>26</v>
      </c>
    </row>
    <row r="20" customFormat="false" ht="15" hidden="false" customHeight="false" outlineLevel="0" collapsed="false">
      <c r="B20" s="12" t="s">
        <v>27</v>
      </c>
      <c r="C20" s="5" t="s">
        <v>28</v>
      </c>
    </row>
    <row r="21" customFormat="false" ht="15" hidden="false" customHeight="false" outlineLevel="0" collapsed="false">
      <c r="B21" s="12" t="s">
        <v>29</v>
      </c>
      <c r="C21" s="5" t="s">
        <v>30</v>
      </c>
    </row>
    <row r="22" customFormat="false" ht="15" hidden="false" customHeight="false" outlineLevel="0" collapsed="false">
      <c r="B22" s="12" t="s">
        <v>31</v>
      </c>
      <c r="C22" s="5" t="s">
        <v>32</v>
      </c>
    </row>
    <row r="23" customFormat="false" ht="15" hidden="false" customHeight="false" outlineLevel="0" collapsed="false">
      <c r="B23" s="12" t="s">
        <v>33</v>
      </c>
      <c r="C23" s="5" t="s">
        <v>34</v>
      </c>
    </row>
    <row r="24" customFormat="false" ht="15" hidden="false" customHeight="false" outlineLevel="0" collapsed="false">
      <c r="B24" s="12" t="s">
        <v>35</v>
      </c>
      <c r="C24" s="5" t="s">
        <v>36</v>
      </c>
    </row>
    <row r="25" customFormat="false" ht="15" hidden="false" customHeight="false" outlineLevel="0" collapsed="false">
      <c r="B25" s="12" t="s">
        <v>37</v>
      </c>
      <c r="C25" s="5" t="s">
        <v>38</v>
      </c>
    </row>
    <row r="26" customFormat="false" ht="15" hidden="false" customHeight="false" outlineLevel="0" collapsed="false">
      <c r="B26" s="12" t="s">
        <v>39</v>
      </c>
      <c r="C26" s="5" t="s">
        <v>40</v>
      </c>
    </row>
    <row r="27" customFormat="false" ht="15" hidden="false" customHeight="false" outlineLevel="0" collapsed="false">
      <c r="B27" s="12" t="s">
        <v>41</v>
      </c>
      <c r="C27" s="5" t="s">
        <v>42</v>
      </c>
    </row>
    <row r="28" customFormat="false" ht="15" hidden="false" customHeight="false" outlineLevel="0" collapsed="false">
      <c r="B28" s="12" t="s">
        <v>43</v>
      </c>
      <c r="C28" s="5" t="s">
        <v>44</v>
      </c>
    </row>
    <row r="30" customFormat="false" ht="15" hidden="false" customHeight="false" outlineLevel="0" collapsed="false">
      <c r="B30" s="4" t="s">
        <v>45</v>
      </c>
    </row>
    <row r="31" customFormat="false" ht="15" hidden="false" customHeight="false" outlineLevel="0" collapsed="false">
      <c r="A31" s="13"/>
      <c r="B31" s="12" t="s">
        <v>46</v>
      </c>
      <c r="C31" s="5" t="s">
        <v>47</v>
      </c>
    </row>
    <row r="32" customFormat="false" ht="15" hidden="false" customHeight="false" outlineLevel="0" collapsed="false">
      <c r="A32" s="13"/>
      <c r="B32" s="12" t="s">
        <v>48</v>
      </c>
      <c r="C32" s="5" t="s">
        <v>49</v>
      </c>
    </row>
    <row r="33" customFormat="false" ht="15" hidden="false" customHeight="false" outlineLevel="0" collapsed="false">
      <c r="A33" s="13"/>
      <c r="B33" s="12" t="s">
        <v>50</v>
      </c>
      <c r="C33" s="5" t="s">
        <v>51</v>
      </c>
    </row>
    <row r="34" customFormat="false" ht="15" hidden="false" customHeight="false" outlineLevel="0" collapsed="false">
      <c r="A34" s="13"/>
      <c r="B34" s="12" t="s">
        <v>52</v>
      </c>
      <c r="C34" s="5" t="s">
        <v>53</v>
      </c>
    </row>
    <row r="35" customFormat="false" ht="15" hidden="false" customHeight="false" outlineLevel="0" collapsed="false">
      <c r="A35" s="13"/>
      <c r="B35" s="12" t="s">
        <v>54</v>
      </c>
      <c r="C35" s="5" t="s">
        <v>55</v>
      </c>
    </row>
    <row r="36" customFormat="false" ht="15" hidden="false" customHeight="false" outlineLevel="0" collapsed="false">
      <c r="A36" s="13"/>
      <c r="B36" s="12" t="s">
        <v>56</v>
      </c>
      <c r="C36" s="5" t="s">
        <v>57</v>
      </c>
    </row>
    <row r="37" customFormat="false" ht="15" hidden="false" customHeight="false" outlineLevel="0" collapsed="false">
      <c r="A37" s="13"/>
      <c r="B37" s="12" t="s">
        <v>58</v>
      </c>
      <c r="C37" s="5" t="s">
        <v>59</v>
      </c>
    </row>
    <row r="38" customFormat="false" ht="15" hidden="false" customHeight="false" outlineLevel="0" collapsed="false">
      <c r="A38" s="13"/>
      <c r="B38" s="12" t="s">
        <v>60</v>
      </c>
      <c r="C38" s="5" t="s">
        <v>61</v>
      </c>
    </row>
    <row r="39" customFormat="false" ht="15" hidden="false" customHeight="false" outlineLevel="0" collapsed="false">
      <c r="A39" s="13"/>
      <c r="B39" s="12" t="s">
        <v>62</v>
      </c>
      <c r="C39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64</v>
      </c>
      <c r="B1" s="2"/>
      <c r="C1" s="2"/>
      <c r="D1" s="2"/>
    </row>
    <row r="2" customFormat="false" ht="15" hidden="false" customHeight="false" outlineLevel="0" collapsed="false">
      <c r="A2" s="3" t="s">
        <v>65</v>
      </c>
    </row>
    <row r="4" customFormat="false" ht="15" hidden="false" customHeight="false" outlineLevel="0" collapsed="false">
      <c r="A4" s="14" t="s">
        <v>66</v>
      </c>
      <c r="B4" s="14" t="s">
        <v>67</v>
      </c>
      <c r="C4" s="14" t="s">
        <v>68</v>
      </c>
      <c r="D4" s="14" t="s">
        <v>69</v>
      </c>
    </row>
    <row r="5" customFormat="false" ht="15" hidden="false" customHeight="false" outlineLevel="0" collapsed="false">
      <c r="A5" s="8" t="s">
        <v>70</v>
      </c>
      <c r="B5" s="8" t="s">
        <v>71</v>
      </c>
      <c r="C5" s="8" t="s">
        <v>72</v>
      </c>
      <c r="D5" s="15" t="n">
        <v>850</v>
      </c>
    </row>
    <row r="6" customFormat="false" ht="15" hidden="false" customHeight="false" outlineLevel="0" collapsed="false">
      <c r="A6" s="8" t="s">
        <v>73</v>
      </c>
      <c r="B6" s="8" t="s">
        <v>74</v>
      </c>
      <c r="C6" s="8" t="s">
        <v>72</v>
      </c>
      <c r="D6" s="15" t="n">
        <v>1450</v>
      </c>
    </row>
    <row r="7" customFormat="false" ht="15" hidden="false" customHeight="false" outlineLevel="0" collapsed="false">
      <c r="A7" s="8" t="s">
        <v>75</v>
      </c>
      <c r="B7" s="8" t="s">
        <v>76</v>
      </c>
      <c r="C7" s="8" t="s">
        <v>77</v>
      </c>
      <c r="D7" s="15" t="n">
        <v>120</v>
      </c>
    </row>
    <row r="8" customFormat="false" ht="15" hidden="false" customHeight="false" outlineLevel="0" collapsed="false">
      <c r="A8" s="8" t="s">
        <v>78</v>
      </c>
      <c r="B8" s="8" t="s">
        <v>79</v>
      </c>
      <c r="C8" s="8" t="s">
        <v>80</v>
      </c>
      <c r="D8" s="15" t="n">
        <v>95</v>
      </c>
    </row>
    <row r="9" customFormat="false" ht="15" hidden="false" customHeight="false" outlineLevel="0" collapsed="false">
      <c r="A9" s="8" t="s">
        <v>81</v>
      </c>
      <c r="B9" s="8" t="s">
        <v>82</v>
      </c>
      <c r="C9" s="8" t="s">
        <v>77</v>
      </c>
      <c r="D9" s="15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2" t="s">
        <v>83</v>
      </c>
      <c r="B1" s="12" t="s">
        <v>84</v>
      </c>
      <c r="C1" s="12" t="s">
        <v>85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2" t="s">
        <v>68</v>
      </c>
    </row>
    <row r="2" customFormat="false" ht="15" hidden="false" customHeight="false" outlineLevel="0" collapsed="false">
      <c r="A2" s="16" t="n">
        <v>45658</v>
      </c>
      <c r="B2" s="17" t="s">
        <v>91</v>
      </c>
      <c r="C2" s="17" t="s">
        <v>70</v>
      </c>
      <c r="D2" s="17" t="s">
        <v>92</v>
      </c>
      <c r="E2" s="17" t="n">
        <v>4</v>
      </c>
      <c r="F2" s="18" t="n">
        <v>850</v>
      </c>
      <c r="G2" s="19" t="n">
        <v>0</v>
      </c>
      <c r="H2" s="18" t="n">
        <v>3400</v>
      </c>
      <c r="I2" s="20"/>
    </row>
    <row r="3" customFormat="false" ht="15" hidden="false" customHeight="false" outlineLevel="0" collapsed="false">
      <c r="A3" s="16" t="n">
        <v>45658</v>
      </c>
      <c r="B3" s="17" t="s">
        <v>93</v>
      </c>
      <c r="C3" s="17" t="s">
        <v>75</v>
      </c>
      <c r="D3" s="17" t="s">
        <v>92</v>
      </c>
      <c r="E3" s="17" t="n">
        <v>11</v>
      </c>
      <c r="F3" s="18" t="n">
        <v>120</v>
      </c>
      <c r="G3" s="19" t="n">
        <v>0</v>
      </c>
      <c r="H3" s="18" t="n">
        <v>1320</v>
      </c>
      <c r="I3" s="20"/>
    </row>
    <row r="4" customFormat="false" ht="15" hidden="false" customHeight="false" outlineLevel="0" collapsed="false">
      <c r="A4" s="16" t="n">
        <v>45659</v>
      </c>
      <c r="B4" s="17" t="s">
        <v>94</v>
      </c>
      <c r="C4" s="17" t="s">
        <v>75</v>
      </c>
      <c r="D4" s="17" t="s">
        <v>92</v>
      </c>
      <c r="E4" s="17" t="n">
        <v>12</v>
      </c>
      <c r="F4" s="18" t="n">
        <v>120</v>
      </c>
      <c r="G4" s="19" t="n">
        <v>0</v>
      </c>
      <c r="H4" s="18" t="n">
        <v>1440</v>
      </c>
      <c r="I4" s="20"/>
    </row>
    <row r="5" customFormat="false" ht="15" hidden="false" customHeight="false" outlineLevel="0" collapsed="false">
      <c r="A5" s="16" t="n">
        <v>45660</v>
      </c>
      <c r="B5" s="17" t="s">
        <v>95</v>
      </c>
      <c r="C5" s="17" t="s">
        <v>70</v>
      </c>
      <c r="D5" s="17" t="s">
        <v>96</v>
      </c>
      <c r="E5" s="17" t="n">
        <v>14</v>
      </c>
      <c r="F5" s="18" t="n">
        <v>850</v>
      </c>
      <c r="G5" s="19" t="n">
        <v>0</v>
      </c>
      <c r="H5" s="18" t="n">
        <v>11900</v>
      </c>
      <c r="I5" s="20"/>
    </row>
    <row r="6" customFormat="false" ht="15" hidden="false" customHeight="false" outlineLevel="0" collapsed="false">
      <c r="A6" s="16" t="n">
        <v>45661</v>
      </c>
      <c r="B6" s="17" t="s">
        <v>97</v>
      </c>
      <c r="C6" s="17" t="s">
        <v>81</v>
      </c>
      <c r="D6" s="17" t="s">
        <v>98</v>
      </c>
      <c r="E6" s="17" t="n">
        <v>9</v>
      </c>
      <c r="F6" s="18" t="n">
        <v>60</v>
      </c>
      <c r="G6" s="19" t="n">
        <v>0.1</v>
      </c>
      <c r="H6" s="18" t="n">
        <v>486</v>
      </c>
      <c r="I6" s="20"/>
    </row>
    <row r="7" customFormat="false" ht="15" hidden="false" customHeight="false" outlineLevel="0" collapsed="false">
      <c r="A7" s="16" t="n">
        <v>45661</v>
      </c>
      <c r="B7" s="17" t="s">
        <v>99</v>
      </c>
      <c r="C7" s="17" t="s">
        <v>75</v>
      </c>
      <c r="D7" s="17" t="s">
        <v>98</v>
      </c>
      <c r="E7" s="17" t="n">
        <v>4</v>
      </c>
      <c r="F7" s="18" t="n">
        <v>120</v>
      </c>
      <c r="G7" s="19" t="n">
        <v>0.05</v>
      </c>
      <c r="H7" s="18" t="n">
        <v>456</v>
      </c>
      <c r="I7" s="20"/>
    </row>
    <row r="8" customFormat="false" ht="15" hidden="false" customHeight="false" outlineLevel="0" collapsed="false">
      <c r="A8" s="16" t="n">
        <v>45661</v>
      </c>
      <c r="B8" s="17" t="s">
        <v>100</v>
      </c>
      <c r="C8" s="17" t="s">
        <v>70</v>
      </c>
      <c r="D8" s="17" t="s">
        <v>92</v>
      </c>
      <c r="E8" s="17" t="n">
        <v>12</v>
      </c>
      <c r="F8" s="18" t="n">
        <v>850</v>
      </c>
      <c r="G8" s="19" t="n">
        <v>0</v>
      </c>
      <c r="H8" s="18" t="n">
        <v>10200</v>
      </c>
      <c r="I8" s="20"/>
    </row>
    <row r="9" customFormat="false" ht="15" hidden="false" customHeight="false" outlineLevel="0" collapsed="false">
      <c r="A9" s="16" t="n">
        <v>45661</v>
      </c>
      <c r="B9" s="17" t="s">
        <v>101</v>
      </c>
      <c r="C9" s="17" t="s">
        <v>70</v>
      </c>
      <c r="D9" s="17" t="s">
        <v>102</v>
      </c>
      <c r="E9" s="17" t="n">
        <v>5</v>
      </c>
      <c r="F9" s="18" t="n">
        <v>850</v>
      </c>
      <c r="G9" s="19" t="n">
        <v>0.1</v>
      </c>
      <c r="H9" s="18" t="n">
        <v>3825</v>
      </c>
      <c r="I9" s="20"/>
    </row>
    <row r="10" customFormat="false" ht="15" hidden="false" customHeight="false" outlineLevel="0" collapsed="false">
      <c r="A10" s="16" t="n">
        <v>45662</v>
      </c>
      <c r="B10" s="17" t="s">
        <v>103</v>
      </c>
      <c r="C10" s="17" t="s">
        <v>81</v>
      </c>
      <c r="D10" s="17" t="s">
        <v>102</v>
      </c>
      <c r="E10" s="17" t="n">
        <v>10</v>
      </c>
      <c r="F10" s="18" t="n">
        <v>60</v>
      </c>
      <c r="G10" s="19" t="n">
        <v>0</v>
      </c>
      <c r="H10" s="18" t="n">
        <v>600</v>
      </c>
      <c r="I10" s="20"/>
    </row>
    <row r="11" customFormat="false" ht="15" hidden="false" customHeight="false" outlineLevel="0" collapsed="false">
      <c r="A11" s="16" t="n">
        <v>45662</v>
      </c>
      <c r="B11" s="17" t="s">
        <v>104</v>
      </c>
      <c r="C11" s="17" t="s">
        <v>81</v>
      </c>
      <c r="D11" s="17" t="s">
        <v>96</v>
      </c>
      <c r="E11" s="17" t="n">
        <v>17</v>
      </c>
      <c r="F11" s="18" t="n">
        <v>60</v>
      </c>
      <c r="G11" s="19" t="n">
        <v>0</v>
      </c>
      <c r="H11" s="18" t="n">
        <v>1020</v>
      </c>
      <c r="I11" s="20"/>
    </row>
    <row r="12" customFormat="false" ht="15" hidden="false" customHeight="false" outlineLevel="0" collapsed="false">
      <c r="A12" s="16" t="n">
        <v>45663</v>
      </c>
      <c r="B12" s="17" t="s">
        <v>105</v>
      </c>
      <c r="C12" s="17" t="s">
        <v>73</v>
      </c>
      <c r="D12" s="17" t="s">
        <v>96</v>
      </c>
      <c r="E12" s="17" t="n">
        <v>13</v>
      </c>
      <c r="F12" s="18" t="n">
        <v>1450</v>
      </c>
      <c r="G12" s="19" t="n">
        <v>0</v>
      </c>
      <c r="H12" s="18" t="n">
        <v>18850</v>
      </c>
      <c r="I12" s="20"/>
    </row>
    <row r="13" customFormat="false" ht="15" hidden="false" customHeight="false" outlineLevel="0" collapsed="false">
      <c r="A13" s="16" t="n">
        <v>45663</v>
      </c>
      <c r="B13" s="17" t="s">
        <v>106</v>
      </c>
      <c r="C13" s="17" t="s">
        <v>75</v>
      </c>
      <c r="D13" s="17" t="s">
        <v>96</v>
      </c>
      <c r="E13" s="17" t="n">
        <v>6</v>
      </c>
      <c r="F13" s="18" t="n">
        <v>120</v>
      </c>
      <c r="G13" s="19" t="n">
        <v>0</v>
      </c>
      <c r="H13" s="18" t="n">
        <v>720</v>
      </c>
      <c r="I13" s="20"/>
    </row>
    <row r="14" customFormat="false" ht="15" hidden="false" customHeight="false" outlineLevel="0" collapsed="false">
      <c r="A14" s="16" t="n">
        <v>45664</v>
      </c>
      <c r="B14" s="17" t="s">
        <v>107</v>
      </c>
      <c r="C14" s="17" t="s">
        <v>73</v>
      </c>
      <c r="D14" s="17" t="s">
        <v>92</v>
      </c>
      <c r="E14" s="17" t="n">
        <v>2</v>
      </c>
      <c r="F14" s="18" t="n">
        <v>1450</v>
      </c>
      <c r="G14" s="19" t="n">
        <v>0.1</v>
      </c>
      <c r="H14" s="18" t="n">
        <v>2610</v>
      </c>
      <c r="I14" s="20"/>
    </row>
    <row r="15" customFormat="false" ht="15" hidden="false" customHeight="false" outlineLevel="0" collapsed="false">
      <c r="A15" s="16" t="n">
        <v>45664</v>
      </c>
      <c r="B15" s="17" t="s">
        <v>108</v>
      </c>
      <c r="C15" s="17" t="s">
        <v>73</v>
      </c>
      <c r="D15" s="17" t="s">
        <v>96</v>
      </c>
      <c r="E15" s="17" t="n">
        <v>14</v>
      </c>
      <c r="F15" s="18" t="n">
        <v>1450</v>
      </c>
      <c r="G15" s="19" t="n">
        <v>0</v>
      </c>
      <c r="H15" s="18" t="n">
        <v>20300</v>
      </c>
      <c r="I15" s="20"/>
    </row>
    <row r="16" customFormat="false" ht="15" hidden="false" customHeight="false" outlineLevel="0" collapsed="false">
      <c r="A16" s="16" t="n">
        <v>45665</v>
      </c>
      <c r="B16" s="17" t="s">
        <v>109</v>
      </c>
      <c r="C16" s="17" t="s">
        <v>70</v>
      </c>
      <c r="D16" s="17" t="s">
        <v>102</v>
      </c>
      <c r="E16" s="17" t="n">
        <v>20</v>
      </c>
      <c r="F16" s="18" t="n">
        <v>850</v>
      </c>
      <c r="G16" s="19" t="n">
        <v>0</v>
      </c>
      <c r="H16" s="18" t="n">
        <v>17000</v>
      </c>
      <c r="I16" s="20"/>
    </row>
    <row r="17" customFormat="false" ht="15" hidden="false" customHeight="false" outlineLevel="0" collapsed="false">
      <c r="A17" s="16" t="n">
        <v>45665</v>
      </c>
      <c r="B17" s="17" t="s">
        <v>110</v>
      </c>
      <c r="C17" s="17" t="s">
        <v>70</v>
      </c>
      <c r="D17" s="17" t="s">
        <v>102</v>
      </c>
      <c r="E17" s="17" t="n">
        <v>3</v>
      </c>
      <c r="F17" s="18" t="n">
        <v>850</v>
      </c>
      <c r="G17" s="19" t="n">
        <v>0.05</v>
      </c>
      <c r="H17" s="18" t="n">
        <v>2422.5</v>
      </c>
      <c r="I17" s="20"/>
    </row>
    <row r="18" customFormat="false" ht="15" hidden="false" customHeight="false" outlineLevel="0" collapsed="false">
      <c r="A18" s="16" t="n">
        <v>45666</v>
      </c>
      <c r="B18" s="17" t="s">
        <v>111</v>
      </c>
      <c r="C18" s="17" t="s">
        <v>73</v>
      </c>
      <c r="D18" s="17" t="s">
        <v>92</v>
      </c>
      <c r="E18" s="17" t="n">
        <v>8</v>
      </c>
      <c r="F18" s="18" t="n">
        <v>1450</v>
      </c>
      <c r="G18" s="19" t="n">
        <v>0</v>
      </c>
      <c r="H18" s="18" t="n">
        <v>11600</v>
      </c>
      <c r="I18" s="20"/>
    </row>
    <row r="19" customFormat="false" ht="15" hidden="false" customHeight="false" outlineLevel="0" collapsed="false">
      <c r="A19" s="16" t="n">
        <v>45666</v>
      </c>
      <c r="B19" s="17" t="s">
        <v>112</v>
      </c>
      <c r="C19" s="17" t="s">
        <v>81</v>
      </c>
      <c r="D19" s="17" t="s">
        <v>102</v>
      </c>
      <c r="E19" s="17" t="n">
        <v>16</v>
      </c>
      <c r="F19" s="18" t="n">
        <v>60</v>
      </c>
      <c r="G19" s="19" t="n">
        <v>0.05</v>
      </c>
      <c r="H19" s="18" t="n">
        <v>912</v>
      </c>
      <c r="I19" s="20"/>
    </row>
    <row r="20" customFormat="false" ht="15" hidden="false" customHeight="false" outlineLevel="0" collapsed="false">
      <c r="A20" s="16" t="n">
        <v>45667</v>
      </c>
      <c r="B20" s="17" t="s">
        <v>113</v>
      </c>
      <c r="C20" s="17" t="s">
        <v>75</v>
      </c>
      <c r="D20" s="17" t="s">
        <v>102</v>
      </c>
      <c r="E20" s="17" t="n">
        <v>6</v>
      </c>
      <c r="F20" s="18" t="n">
        <v>120</v>
      </c>
      <c r="G20" s="19" t="n">
        <v>0</v>
      </c>
      <c r="H20" s="18" t="n">
        <v>720</v>
      </c>
      <c r="I20" s="20"/>
    </row>
    <row r="21" customFormat="false" ht="15" hidden="false" customHeight="false" outlineLevel="0" collapsed="false">
      <c r="A21" s="16" t="n">
        <v>45667</v>
      </c>
      <c r="B21" s="17" t="s">
        <v>114</v>
      </c>
      <c r="C21" s="17" t="s">
        <v>70</v>
      </c>
      <c r="D21" s="17" t="s">
        <v>102</v>
      </c>
      <c r="E21" s="17" t="n">
        <v>4</v>
      </c>
      <c r="F21" s="18" t="n">
        <v>850</v>
      </c>
      <c r="G21" s="19" t="n">
        <v>0.1</v>
      </c>
      <c r="H21" s="18" t="n">
        <v>3060</v>
      </c>
      <c r="I21" s="20"/>
    </row>
    <row r="22" customFormat="false" ht="15" hidden="false" customHeight="false" outlineLevel="0" collapsed="false">
      <c r="A22" s="16" t="n">
        <v>45667</v>
      </c>
      <c r="B22" s="17" t="s">
        <v>115</v>
      </c>
      <c r="C22" s="17" t="s">
        <v>78</v>
      </c>
      <c r="D22" s="17" t="s">
        <v>92</v>
      </c>
      <c r="E22" s="17" t="n">
        <v>11</v>
      </c>
      <c r="F22" s="18" t="n">
        <v>95</v>
      </c>
      <c r="G22" s="19" t="n">
        <v>0.1</v>
      </c>
      <c r="H22" s="18" t="n">
        <v>940.5</v>
      </c>
      <c r="I22" s="20"/>
    </row>
    <row r="23" customFormat="false" ht="15" hidden="false" customHeight="false" outlineLevel="0" collapsed="false">
      <c r="A23" s="16" t="n">
        <v>45668</v>
      </c>
      <c r="B23" s="17" t="s">
        <v>116</v>
      </c>
      <c r="C23" s="17" t="s">
        <v>81</v>
      </c>
      <c r="D23" s="17" t="s">
        <v>98</v>
      </c>
      <c r="E23" s="17" t="n">
        <v>17</v>
      </c>
      <c r="F23" s="18" t="n">
        <v>60</v>
      </c>
      <c r="G23" s="19" t="n">
        <v>0</v>
      </c>
      <c r="H23" s="18" t="n">
        <v>1020</v>
      </c>
      <c r="I23" s="20"/>
    </row>
    <row r="24" customFormat="false" ht="15" hidden="false" customHeight="false" outlineLevel="0" collapsed="false">
      <c r="A24" s="16" t="n">
        <v>45668</v>
      </c>
      <c r="B24" s="17" t="s">
        <v>117</v>
      </c>
      <c r="C24" s="17" t="s">
        <v>70</v>
      </c>
      <c r="D24" s="17" t="s">
        <v>98</v>
      </c>
      <c r="E24" s="17" t="n">
        <v>16</v>
      </c>
      <c r="F24" s="18" t="n">
        <v>850</v>
      </c>
      <c r="G24" s="19" t="n">
        <v>0.05</v>
      </c>
      <c r="H24" s="18" t="n">
        <v>12920</v>
      </c>
      <c r="I24" s="20"/>
    </row>
    <row r="25" customFormat="false" ht="15" hidden="false" customHeight="false" outlineLevel="0" collapsed="false">
      <c r="A25" s="16" t="n">
        <v>45668</v>
      </c>
      <c r="B25" s="17" t="s">
        <v>118</v>
      </c>
      <c r="C25" s="17" t="s">
        <v>81</v>
      </c>
      <c r="D25" s="17" t="s">
        <v>92</v>
      </c>
      <c r="E25" s="17" t="n">
        <v>16</v>
      </c>
      <c r="F25" s="18" t="n">
        <v>60</v>
      </c>
      <c r="G25" s="19" t="n">
        <v>0.05</v>
      </c>
      <c r="H25" s="18" t="n">
        <v>912</v>
      </c>
      <c r="I25" s="20"/>
    </row>
    <row r="26" customFormat="false" ht="15" hidden="false" customHeight="false" outlineLevel="0" collapsed="false">
      <c r="A26" s="16" t="n">
        <v>45668</v>
      </c>
      <c r="B26" s="17" t="s">
        <v>119</v>
      </c>
      <c r="C26" s="17" t="s">
        <v>78</v>
      </c>
      <c r="D26" s="17" t="s">
        <v>92</v>
      </c>
      <c r="E26" s="17" t="n">
        <v>20</v>
      </c>
      <c r="F26" s="18" t="n">
        <v>95</v>
      </c>
      <c r="G26" s="19" t="n">
        <v>0.1</v>
      </c>
      <c r="H26" s="18" t="n">
        <v>1710</v>
      </c>
      <c r="I26" s="20"/>
    </row>
    <row r="27" customFormat="false" ht="15" hidden="false" customHeight="false" outlineLevel="0" collapsed="false">
      <c r="A27" s="16" t="n">
        <v>45668</v>
      </c>
      <c r="B27" s="17" t="s">
        <v>120</v>
      </c>
      <c r="C27" s="17" t="s">
        <v>73</v>
      </c>
      <c r="D27" s="17" t="s">
        <v>98</v>
      </c>
      <c r="E27" s="17" t="n">
        <v>19</v>
      </c>
      <c r="F27" s="18" t="n">
        <v>1450</v>
      </c>
      <c r="G27" s="19" t="n">
        <v>0</v>
      </c>
      <c r="H27" s="18" t="n">
        <v>27550</v>
      </c>
      <c r="I27" s="20"/>
    </row>
    <row r="28" customFormat="false" ht="15" hidden="false" customHeight="false" outlineLevel="0" collapsed="false">
      <c r="A28" s="16" t="n">
        <v>45669</v>
      </c>
      <c r="B28" s="17" t="s">
        <v>121</v>
      </c>
      <c r="C28" s="17" t="s">
        <v>78</v>
      </c>
      <c r="D28" s="17" t="s">
        <v>96</v>
      </c>
      <c r="E28" s="17" t="n">
        <v>14</v>
      </c>
      <c r="F28" s="18" t="n">
        <v>95</v>
      </c>
      <c r="G28" s="19" t="n">
        <v>0</v>
      </c>
      <c r="H28" s="18" t="n">
        <v>1330</v>
      </c>
      <c r="I28" s="20"/>
    </row>
    <row r="29" customFormat="false" ht="15" hidden="false" customHeight="false" outlineLevel="0" collapsed="false">
      <c r="A29" s="16" t="n">
        <v>45669</v>
      </c>
      <c r="B29" s="17" t="s">
        <v>122</v>
      </c>
      <c r="C29" s="17" t="s">
        <v>73</v>
      </c>
      <c r="D29" s="17" t="s">
        <v>96</v>
      </c>
      <c r="E29" s="17" t="n">
        <v>9</v>
      </c>
      <c r="F29" s="18" t="n">
        <v>1450</v>
      </c>
      <c r="G29" s="19" t="n">
        <v>0.05</v>
      </c>
      <c r="H29" s="18" t="n">
        <v>12397.5</v>
      </c>
      <c r="I29" s="20"/>
    </row>
    <row r="30" customFormat="false" ht="15" hidden="false" customHeight="false" outlineLevel="0" collapsed="false">
      <c r="A30" s="16" t="n">
        <v>45669</v>
      </c>
      <c r="B30" s="17" t="s">
        <v>123</v>
      </c>
      <c r="C30" s="17" t="s">
        <v>70</v>
      </c>
      <c r="D30" s="17" t="s">
        <v>98</v>
      </c>
      <c r="E30" s="17" t="n">
        <v>7</v>
      </c>
      <c r="F30" s="18" t="n">
        <v>850</v>
      </c>
      <c r="G30" s="19" t="n">
        <v>0.05</v>
      </c>
      <c r="H30" s="18" t="n">
        <v>5652.5</v>
      </c>
      <c r="I30" s="20"/>
    </row>
    <row r="31" customFormat="false" ht="15" hidden="false" customHeight="false" outlineLevel="0" collapsed="false">
      <c r="A31" s="16" t="n">
        <v>45669</v>
      </c>
      <c r="B31" s="17" t="s">
        <v>124</v>
      </c>
      <c r="C31" s="17" t="s">
        <v>78</v>
      </c>
      <c r="D31" s="17" t="s">
        <v>98</v>
      </c>
      <c r="E31" s="17" t="n">
        <v>13</v>
      </c>
      <c r="F31" s="18" t="n">
        <v>95</v>
      </c>
      <c r="G31" s="19" t="n">
        <v>0.05</v>
      </c>
      <c r="H31" s="18" t="n">
        <v>1173.25</v>
      </c>
      <c r="I31" s="20"/>
    </row>
    <row r="32" customFormat="false" ht="15" hidden="false" customHeight="false" outlineLevel="0" collapsed="false">
      <c r="A32" s="16" t="n">
        <v>45670</v>
      </c>
      <c r="B32" s="17" t="s">
        <v>125</v>
      </c>
      <c r="C32" s="17" t="s">
        <v>75</v>
      </c>
      <c r="D32" s="17" t="s">
        <v>96</v>
      </c>
      <c r="E32" s="17" t="n">
        <v>12</v>
      </c>
      <c r="F32" s="18" t="n">
        <v>120</v>
      </c>
      <c r="G32" s="19" t="n">
        <v>0</v>
      </c>
      <c r="H32" s="18" t="n">
        <v>1440</v>
      </c>
      <c r="I32" s="20"/>
    </row>
    <row r="33" customFormat="false" ht="15" hidden="false" customHeight="false" outlineLevel="0" collapsed="false">
      <c r="A33" s="16" t="n">
        <v>45670</v>
      </c>
      <c r="B33" s="17" t="s">
        <v>126</v>
      </c>
      <c r="C33" s="17" t="s">
        <v>70</v>
      </c>
      <c r="D33" s="17" t="s">
        <v>92</v>
      </c>
      <c r="E33" s="17" t="n">
        <v>4</v>
      </c>
      <c r="F33" s="18" t="n">
        <v>850</v>
      </c>
      <c r="G33" s="19" t="n">
        <v>0.05</v>
      </c>
      <c r="H33" s="18" t="n">
        <v>3230</v>
      </c>
      <c r="I33" s="20"/>
    </row>
    <row r="34" customFormat="false" ht="15" hidden="false" customHeight="false" outlineLevel="0" collapsed="false">
      <c r="A34" s="16" t="n">
        <v>45670</v>
      </c>
      <c r="B34" s="17" t="s">
        <v>127</v>
      </c>
      <c r="C34" s="17" t="s">
        <v>75</v>
      </c>
      <c r="D34" s="17" t="s">
        <v>96</v>
      </c>
      <c r="E34" s="17" t="n">
        <v>20</v>
      </c>
      <c r="F34" s="18" t="n">
        <v>120</v>
      </c>
      <c r="G34" s="19" t="n">
        <v>0</v>
      </c>
      <c r="H34" s="18" t="n">
        <v>2400</v>
      </c>
      <c r="I34" s="20"/>
    </row>
    <row r="35" customFormat="false" ht="15" hidden="false" customHeight="false" outlineLevel="0" collapsed="false">
      <c r="A35" s="16" t="n">
        <v>45670</v>
      </c>
      <c r="B35" s="17" t="s">
        <v>128</v>
      </c>
      <c r="C35" s="17" t="s">
        <v>75</v>
      </c>
      <c r="D35" s="17" t="s">
        <v>96</v>
      </c>
      <c r="E35" s="17" t="n">
        <v>12</v>
      </c>
      <c r="F35" s="18" t="n">
        <v>120</v>
      </c>
      <c r="G35" s="19" t="n">
        <v>0</v>
      </c>
      <c r="H35" s="18" t="n">
        <v>1440</v>
      </c>
      <c r="I35" s="20"/>
    </row>
    <row r="36" customFormat="false" ht="15" hidden="false" customHeight="false" outlineLevel="0" collapsed="false">
      <c r="A36" s="16" t="n">
        <v>45671</v>
      </c>
      <c r="B36" s="17" t="s">
        <v>129</v>
      </c>
      <c r="C36" s="17" t="s">
        <v>78</v>
      </c>
      <c r="D36" s="17" t="s">
        <v>96</v>
      </c>
      <c r="E36" s="17" t="n">
        <v>3</v>
      </c>
      <c r="F36" s="18" t="n">
        <v>95</v>
      </c>
      <c r="G36" s="19" t="n">
        <v>0</v>
      </c>
      <c r="H36" s="18" t="n">
        <v>285</v>
      </c>
      <c r="I36" s="20"/>
    </row>
    <row r="37" customFormat="false" ht="15" hidden="false" customHeight="false" outlineLevel="0" collapsed="false">
      <c r="A37" s="16" t="n">
        <v>45671</v>
      </c>
      <c r="B37" s="17" t="s">
        <v>130</v>
      </c>
      <c r="C37" s="17" t="s">
        <v>81</v>
      </c>
      <c r="D37" s="17" t="s">
        <v>102</v>
      </c>
      <c r="E37" s="17" t="n">
        <v>6</v>
      </c>
      <c r="F37" s="18" t="n">
        <v>60</v>
      </c>
      <c r="G37" s="19" t="n">
        <v>0</v>
      </c>
      <c r="H37" s="18" t="n">
        <v>360</v>
      </c>
      <c r="I37" s="20"/>
    </row>
    <row r="38" customFormat="false" ht="15" hidden="false" customHeight="false" outlineLevel="0" collapsed="false">
      <c r="A38" s="16" t="n">
        <v>45671</v>
      </c>
      <c r="B38" s="17" t="s">
        <v>131</v>
      </c>
      <c r="C38" s="17" t="s">
        <v>70</v>
      </c>
      <c r="D38" s="17" t="s">
        <v>102</v>
      </c>
      <c r="E38" s="17" t="n">
        <v>12</v>
      </c>
      <c r="F38" s="18" t="n">
        <v>850</v>
      </c>
      <c r="G38" s="19" t="n">
        <v>0.1</v>
      </c>
      <c r="H38" s="18" t="n">
        <v>9180</v>
      </c>
      <c r="I38" s="20"/>
    </row>
    <row r="39" customFormat="false" ht="15" hidden="false" customHeight="false" outlineLevel="0" collapsed="false">
      <c r="A39" s="16" t="n">
        <v>45672</v>
      </c>
      <c r="B39" s="17" t="s">
        <v>132</v>
      </c>
      <c r="C39" s="17" t="s">
        <v>70</v>
      </c>
      <c r="D39" s="17" t="s">
        <v>98</v>
      </c>
      <c r="E39" s="17" t="n">
        <v>16</v>
      </c>
      <c r="F39" s="18" t="n">
        <v>850</v>
      </c>
      <c r="G39" s="19" t="n">
        <v>0</v>
      </c>
      <c r="H39" s="18" t="n">
        <v>13600</v>
      </c>
      <c r="I39" s="20"/>
    </row>
    <row r="40" customFormat="false" ht="15" hidden="false" customHeight="false" outlineLevel="0" collapsed="false">
      <c r="A40" s="16" t="n">
        <v>45672</v>
      </c>
      <c r="B40" s="17" t="s">
        <v>133</v>
      </c>
      <c r="C40" s="17" t="s">
        <v>81</v>
      </c>
      <c r="D40" s="17" t="s">
        <v>98</v>
      </c>
      <c r="E40" s="17" t="n">
        <v>9</v>
      </c>
      <c r="F40" s="18" t="n">
        <v>60</v>
      </c>
      <c r="G40" s="19" t="n">
        <v>0.05</v>
      </c>
      <c r="H40" s="18" t="n">
        <v>513</v>
      </c>
      <c r="I40" s="20"/>
    </row>
    <row r="41" customFormat="false" ht="15" hidden="false" customHeight="false" outlineLevel="0" collapsed="false">
      <c r="A41" s="16" t="n">
        <v>45672</v>
      </c>
      <c r="B41" s="17" t="s">
        <v>134</v>
      </c>
      <c r="C41" s="17" t="s">
        <v>70</v>
      </c>
      <c r="D41" s="17" t="s">
        <v>96</v>
      </c>
      <c r="E41" s="17" t="n">
        <v>3</v>
      </c>
      <c r="F41" s="18" t="n">
        <v>850</v>
      </c>
      <c r="G41" s="19" t="n">
        <v>0</v>
      </c>
      <c r="H41" s="18" t="n">
        <v>2550</v>
      </c>
      <c r="I41" s="20"/>
    </row>
    <row r="42" customFormat="false" ht="15" hidden="false" customHeight="false" outlineLevel="0" collapsed="false">
      <c r="A42" s="16" t="n">
        <v>45672</v>
      </c>
      <c r="B42" s="17" t="s">
        <v>135</v>
      </c>
      <c r="C42" s="17" t="s">
        <v>73</v>
      </c>
      <c r="D42" s="17" t="s">
        <v>98</v>
      </c>
      <c r="E42" s="17" t="n">
        <v>16</v>
      </c>
      <c r="F42" s="18" t="n">
        <v>1450</v>
      </c>
      <c r="G42" s="19" t="n">
        <v>0</v>
      </c>
      <c r="H42" s="18" t="n">
        <v>23200</v>
      </c>
      <c r="I42" s="20"/>
    </row>
    <row r="43" customFormat="false" ht="15" hidden="false" customHeight="false" outlineLevel="0" collapsed="false">
      <c r="A43" s="16" t="n">
        <v>45673</v>
      </c>
      <c r="B43" s="17" t="s">
        <v>136</v>
      </c>
      <c r="C43" s="17" t="s">
        <v>73</v>
      </c>
      <c r="D43" s="17" t="s">
        <v>96</v>
      </c>
      <c r="E43" s="17" t="n">
        <v>4</v>
      </c>
      <c r="F43" s="18" t="n">
        <v>1450</v>
      </c>
      <c r="G43" s="19" t="n">
        <v>0.05</v>
      </c>
      <c r="H43" s="18" t="n">
        <v>5510</v>
      </c>
      <c r="I43" s="20"/>
    </row>
    <row r="44" customFormat="false" ht="15" hidden="false" customHeight="false" outlineLevel="0" collapsed="false">
      <c r="A44" s="16" t="n">
        <v>45673</v>
      </c>
      <c r="B44" s="17" t="s">
        <v>137</v>
      </c>
      <c r="C44" s="17" t="s">
        <v>78</v>
      </c>
      <c r="D44" s="17" t="s">
        <v>98</v>
      </c>
      <c r="E44" s="17" t="n">
        <v>10</v>
      </c>
      <c r="F44" s="18" t="n">
        <v>95</v>
      </c>
      <c r="G44" s="19" t="n">
        <v>0.05</v>
      </c>
      <c r="H44" s="18" t="n">
        <v>902.5</v>
      </c>
      <c r="I44" s="20"/>
    </row>
    <row r="45" customFormat="false" ht="15" hidden="false" customHeight="false" outlineLevel="0" collapsed="false">
      <c r="A45" s="16" t="n">
        <v>45674</v>
      </c>
      <c r="B45" s="17" t="s">
        <v>138</v>
      </c>
      <c r="C45" s="17" t="s">
        <v>81</v>
      </c>
      <c r="D45" s="17" t="s">
        <v>102</v>
      </c>
      <c r="E45" s="17" t="n">
        <v>16</v>
      </c>
      <c r="F45" s="18" t="n">
        <v>60</v>
      </c>
      <c r="G45" s="19" t="n">
        <v>0.05</v>
      </c>
      <c r="H45" s="18" t="n">
        <v>912</v>
      </c>
      <c r="I45" s="20"/>
    </row>
    <row r="46" customFormat="false" ht="15" hidden="false" customHeight="false" outlineLevel="0" collapsed="false">
      <c r="A46" s="16" t="n">
        <v>45674</v>
      </c>
      <c r="B46" s="17" t="s">
        <v>139</v>
      </c>
      <c r="C46" s="17" t="s">
        <v>78</v>
      </c>
      <c r="D46" s="17" t="s">
        <v>92</v>
      </c>
      <c r="E46" s="17" t="n">
        <v>14</v>
      </c>
      <c r="F46" s="18" t="n">
        <v>95</v>
      </c>
      <c r="G46" s="19" t="n">
        <v>0.1</v>
      </c>
      <c r="H46" s="18" t="n">
        <v>1197</v>
      </c>
      <c r="I46" s="20"/>
    </row>
    <row r="47" customFormat="false" ht="15" hidden="false" customHeight="false" outlineLevel="0" collapsed="false">
      <c r="A47" s="16" t="n">
        <v>45674</v>
      </c>
      <c r="B47" s="17" t="s">
        <v>140</v>
      </c>
      <c r="C47" s="17" t="s">
        <v>78</v>
      </c>
      <c r="D47" s="17" t="s">
        <v>98</v>
      </c>
      <c r="E47" s="17" t="n">
        <v>13</v>
      </c>
      <c r="F47" s="18" t="n">
        <v>95</v>
      </c>
      <c r="G47" s="19" t="n">
        <v>0</v>
      </c>
      <c r="H47" s="18" t="n">
        <v>1235</v>
      </c>
      <c r="I47" s="20"/>
    </row>
    <row r="48" customFormat="false" ht="15" hidden="false" customHeight="false" outlineLevel="0" collapsed="false">
      <c r="A48" s="16" t="n">
        <v>45674</v>
      </c>
      <c r="B48" s="17" t="s">
        <v>141</v>
      </c>
      <c r="C48" s="17" t="s">
        <v>78</v>
      </c>
      <c r="D48" s="17" t="s">
        <v>96</v>
      </c>
      <c r="E48" s="17" t="n">
        <v>11</v>
      </c>
      <c r="F48" s="18" t="n">
        <v>95</v>
      </c>
      <c r="G48" s="19" t="n">
        <v>0</v>
      </c>
      <c r="H48" s="18" t="n">
        <v>1045</v>
      </c>
      <c r="I48" s="20"/>
    </row>
    <row r="49" customFormat="false" ht="15" hidden="false" customHeight="false" outlineLevel="0" collapsed="false">
      <c r="A49" s="16" t="n">
        <v>45674</v>
      </c>
      <c r="B49" s="17" t="s">
        <v>142</v>
      </c>
      <c r="C49" s="17" t="s">
        <v>81</v>
      </c>
      <c r="D49" s="17" t="s">
        <v>98</v>
      </c>
      <c r="E49" s="17" t="n">
        <v>9</v>
      </c>
      <c r="F49" s="18" t="n">
        <v>60</v>
      </c>
      <c r="G49" s="19" t="n">
        <v>0</v>
      </c>
      <c r="H49" s="18" t="n">
        <v>540</v>
      </c>
      <c r="I49" s="20"/>
    </row>
    <row r="50" customFormat="false" ht="15" hidden="false" customHeight="false" outlineLevel="0" collapsed="false">
      <c r="A50" s="16" t="n">
        <v>45674</v>
      </c>
      <c r="B50" s="17" t="s">
        <v>143</v>
      </c>
      <c r="C50" s="17" t="s">
        <v>75</v>
      </c>
      <c r="D50" s="17" t="s">
        <v>92</v>
      </c>
      <c r="E50" s="17" t="n">
        <v>9</v>
      </c>
      <c r="F50" s="18" t="n">
        <v>120</v>
      </c>
      <c r="G50" s="19" t="n">
        <v>0.1</v>
      </c>
      <c r="H50" s="18" t="n">
        <v>972</v>
      </c>
      <c r="I50" s="20"/>
    </row>
    <row r="51" customFormat="false" ht="15" hidden="false" customHeight="false" outlineLevel="0" collapsed="false">
      <c r="A51" s="16" t="n">
        <v>45675</v>
      </c>
      <c r="B51" s="17" t="s">
        <v>144</v>
      </c>
      <c r="C51" s="17" t="s">
        <v>81</v>
      </c>
      <c r="D51" s="17" t="s">
        <v>96</v>
      </c>
      <c r="E51" s="17" t="n">
        <v>10</v>
      </c>
      <c r="F51" s="18" t="n">
        <v>60</v>
      </c>
      <c r="G51" s="19" t="n">
        <v>0</v>
      </c>
      <c r="H51" s="18" t="n">
        <v>600</v>
      </c>
      <c r="I51" s="20"/>
    </row>
    <row r="52" customFormat="false" ht="15" hidden="false" customHeight="false" outlineLevel="0" collapsed="false">
      <c r="A52" s="16" t="n">
        <v>45675</v>
      </c>
      <c r="B52" s="17" t="s">
        <v>145</v>
      </c>
      <c r="C52" s="17" t="s">
        <v>73</v>
      </c>
      <c r="D52" s="17" t="s">
        <v>98</v>
      </c>
      <c r="E52" s="17" t="n">
        <v>16</v>
      </c>
      <c r="F52" s="18" t="n">
        <v>1450</v>
      </c>
      <c r="G52" s="19" t="n">
        <v>0.1</v>
      </c>
      <c r="H52" s="18" t="n">
        <v>20880</v>
      </c>
      <c r="I52" s="20"/>
    </row>
    <row r="53" customFormat="false" ht="15" hidden="false" customHeight="false" outlineLevel="0" collapsed="false">
      <c r="A53" s="16" t="n">
        <v>45675</v>
      </c>
      <c r="B53" s="17" t="s">
        <v>146</v>
      </c>
      <c r="C53" s="17" t="s">
        <v>78</v>
      </c>
      <c r="D53" s="17" t="s">
        <v>102</v>
      </c>
      <c r="E53" s="17" t="n">
        <v>3</v>
      </c>
      <c r="F53" s="18" t="n">
        <v>95</v>
      </c>
      <c r="G53" s="19" t="n">
        <v>0.05</v>
      </c>
      <c r="H53" s="18" t="n">
        <v>270.75</v>
      </c>
      <c r="I53" s="20"/>
    </row>
    <row r="54" customFormat="false" ht="15" hidden="false" customHeight="false" outlineLevel="0" collapsed="false">
      <c r="A54" s="16" t="n">
        <v>45675</v>
      </c>
      <c r="B54" s="17" t="s">
        <v>147</v>
      </c>
      <c r="C54" s="17" t="s">
        <v>75</v>
      </c>
      <c r="D54" s="17" t="s">
        <v>92</v>
      </c>
      <c r="E54" s="17" t="n">
        <v>7</v>
      </c>
      <c r="F54" s="18" t="n">
        <v>120</v>
      </c>
      <c r="G54" s="19" t="n">
        <v>0.1</v>
      </c>
      <c r="H54" s="18" t="n">
        <v>756</v>
      </c>
      <c r="I54" s="20"/>
    </row>
    <row r="55" customFormat="false" ht="15" hidden="false" customHeight="false" outlineLevel="0" collapsed="false">
      <c r="A55" s="16" t="n">
        <v>45675</v>
      </c>
      <c r="B55" s="17" t="s">
        <v>148</v>
      </c>
      <c r="C55" s="17" t="s">
        <v>70</v>
      </c>
      <c r="D55" s="17" t="s">
        <v>96</v>
      </c>
      <c r="E55" s="17" t="n">
        <v>18</v>
      </c>
      <c r="F55" s="18" t="n">
        <v>850</v>
      </c>
      <c r="G55" s="19" t="n">
        <v>0.1</v>
      </c>
      <c r="H55" s="18" t="n">
        <v>13770</v>
      </c>
      <c r="I55" s="20"/>
    </row>
    <row r="56" customFormat="false" ht="15" hidden="false" customHeight="false" outlineLevel="0" collapsed="false">
      <c r="A56" s="16" t="n">
        <v>45675</v>
      </c>
      <c r="B56" s="17" t="s">
        <v>149</v>
      </c>
      <c r="C56" s="17" t="s">
        <v>70</v>
      </c>
      <c r="D56" s="17" t="s">
        <v>102</v>
      </c>
      <c r="E56" s="17" t="n">
        <v>17</v>
      </c>
      <c r="F56" s="18" t="n">
        <v>850</v>
      </c>
      <c r="G56" s="19" t="n">
        <v>0</v>
      </c>
      <c r="H56" s="18" t="n">
        <v>14450</v>
      </c>
      <c r="I56" s="20"/>
    </row>
    <row r="57" customFormat="false" ht="15" hidden="false" customHeight="false" outlineLevel="0" collapsed="false">
      <c r="A57" s="16" t="n">
        <v>45676</v>
      </c>
      <c r="B57" s="17" t="s">
        <v>150</v>
      </c>
      <c r="C57" s="17" t="s">
        <v>81</v>
      </c>
      <c r="D57" s="17" t="s">
        <v>96</v>
      </c>
      <c r="E57" s="17" t="n">
        <v>16</v>
      </c>
      <c r="F57" s="18" t="n">
        <v>60</v>
      </c>
      <c r="G57" s="19" t="n">
        <v>0</v>
      </c>
      <c r="H57" s="18" t="n">
        <v>960</v>
      </c>
      <c r="I57" s="20"/>
    </row>
    <row r="58" customFormat="false" ht="15" hidden="false" customHeight="false" outlineLevel="0" collapsed="false">
      <c r="A58" s="16" t="n">
        <v>45676</v>
      </c>
      <c r="B58" s="17" t="s">
        <v>151</v>
      </c>
      <c r="C58" s="17" t="s">
        <v>73</v>
      </c>
      <c r="D58" s="17" t="s">
        <v>92</v>
      </c>
      <c r="E58" s="17" t="n">
        <v>5</v>
      </c>
      <c r="F58" s="18" t="n">
        <v>1450</v>
      </c>
      <c r="G58" s="19" t="n">
        <v>0</v>
      </c>
      <c r="H58" s="18" t="n">
        <v>7250</v>
      </c>
      <c r="I58" s="20"/>
    </row>
    <row r="59" customFormat="false" ht="15" hidden="false" customHeight="false" outlineLevel="0" collapsed="false">
      <c r="A59" s="16" t="n">
        <v>45676</v>
      </c>
      <c r="B59" s="17" t="s">
        <v>152</v>
      </c>
      <c r="C59" s="17" t="s">
        <v>81</v>
      </c>
      <c r="D59" s="17" t="s">
        <v>98</v>
      </c>
      <c r="E59" s="17" t="n">
        <v>3</v>
      </c>
      <c r="F59" s="18" t="n">
        <v>60</v>
      </c>
      <c r="G59" s="19" t="n">
        <v>0.1</v>
      </c>
      <c r="H59" s="18" t="n">
        <v>162</v>
      </c>
      <c r="I59" s="20"/>
    </row>
    <row r="60" customFormat="false" ht="15" hidden="false" customHeight="false" outlineLevel="0" collapsed="false">
      <c r="A60" s="16" t="n">
        <v>45676</v>
      </c>
      <c r="B60" s="17" t="s">
        <v>153</v>
      </c>
      <c r="C60" s="17" t="s">
        <v>75</v>
      </c>
      <c r="D60" s="17" t="s">
        <v>98</v>
      </c>
      <c r="E60" s="17" t="n">
        <v>19</v>
      </c>
      <c r="F60" s="18" t="n">
        <v>120</v>
      </c>
      <c r="G60" s="19" t="n">
        <v>0</v>
      </c>
      <c r="H60" s="18" t="n">
        <v>2280</v>
      </c>
      <c r="I60" s="20"/>
    </row>
    <row r="61" customFormat="false" ht="15" hidden="false" customHeight="false" outlineLevel="0" collapsed="false">
      <c r="A61" s="16" t="n">
        <v>45677</v>
      </c>
      <c r="B61" s="17" t="s">
        <v>154</v>
      </c>
      <c r="C61" s="17" t="s">
        <v>81</v>
      </c>
      <c r="D61" s="17" t="s">
        <v>96</v>
      </c>
      <c r="E61" s="17" t="n">
        <v>18</v>
      </c>
      <c r="F61" s="18" t="n">
        <v>60</v>
      </c>
      <c r="G61" s="19" t="n">
        <v>0.05</v>
      </c>
      <c r="H61" s="18" t="n">
        <v>1026</v>
      </c>
      <c r="I61" s="20"/>
    </row>
    <row r="62" customFormat="false" ht="15" hidden="false" customHeight="false" outlineLevel="0" collapsed="false">
      <c r="A62" s="16" t="n">
        <v>45677</v>
      </c>
      <c r="B62" s="17" t="s">
        <v>155</v>
      </c>
      <c r="C62" s="17" t="s">
        <v>70</v>
      </c>
      <c r="D62" s="17" t="s">
        <v>92</v>
      </c>
      <c r="E62" s="17" t="n">
        <v>4</v>
      </c>
      <c r="F62" s="18" t="n">
        <v>850</v>
      </c>
      <c r="G62" s="19" t="n">
        <v>0</v>
      </c>
      <c r="H62" s="18" t="n">
        <v>3400</v>
      </c>
      <c r="I62" s="20"/>
    </row>
    <row r="63" customFormat="false" ht="15" hidden="false" customHeight="false" outlineLevel="0" collapsed="false">
      <c r="A63" s="16" t="n">
        <v>45677</v>
      </c>
      <c r="B63" s="17" t="s">
        <v>156</v>
      </c>
      <c r="C63" s="17" t="s">
        <v>81</v>
      </c>
      <c r="D63" s="17" t="s">
        <v>96</v>
      </c>
      <c r="E63" s="17" t="n">
        <v>10</v>
      </c>
      <c r="F63" s="18" t="n">
        <v>60</v>
      </c>
      <c r="G63" s="19" t="n">
        <v>0</v>
      </c>
      <c r="H63" s="18" t="n">
        <v>600</v>
      </c>
      <c r="I63" s="20"/>
    </row>
    <row r="64" customFormat="false" ht="15" hidden="false" customHeight="false" outlineLevel="0" collapsed="false">
      <c r="A64" s="16" t="n">
        <v>45677</v>
      </c>
      <c r="B64" s="17" t="s">
        <v>157</v>
      </c>
      <c r="C64" s="17" t="s">
        <v>75</v>
      </c>
      <c r="D64" s="17" t="s">
        <v>98</v>
      </c>
      <c r="E64" s="17" t="n">
        <v>15</v>
      </c>
      <c r="F64" s="18" t="n">
        <v>120</v>
      </c>
      <c r="G64" s="19" t="n">
        <v>0.1</v>
      </c>
      <c r="H64" s="18" t="n">
        <v>1620</v>
      </c>
      <c r="I64" s="20"/>
    </row>
    <row r="65" customFormat="false" ht="15" hidden="false" customHeight="false" outlineLevel="0" collapsed="false">
      <c r="A65" s="16" t="n">
        <v>45677</v>
      </c>
      <c r="B65" s="17" t="s">
        <v>158</v>
      </c>
      <c r="C65" s="17" t="s">
        <v>75</v>
      </c>
      <c r="D65" s="17" t="s">
        <v>98</v>
      </c>
      <c r="E65" s="17" t="n">
        <v>1</v>
      </c>
      <c r="F65" s="18" t="n">
        <v>120</v>
      </c>
      <c r="G65" s="19" t="n">
        <v>0.05</v>
      </c>
      <c r="H65" s="18" t="n">
        <v>114</v>
      </c>
      <c r="I65" s="20"/>
    </row>
    <row r="66" customFormat="false" ht="15" hidden="false" customHeight="false" outlineLevel="0" collapsed="false">
      <c r="A66" s="16" t="n">
        <v>45678</v>
      </c>
      <c r="B66" s="17" t="s">
        <v>159</v>
      </c>
      <c r="C66" s="17" t="s">
        <v>81</v>
      </c>
      <c r="D66" s="17" t="s">
        <v>96</v>
      </c>
      <c r="E66" s="17" t="n">
        <v>15</v>
      </c>
      <c r="F66" s="18" t="n">
        <v>60</v>
      </c>
      <c r="G66" s="19" t="n">
        <v>0.1</v>
      </c>
      <c r="H66" s="18" t="n">
        <v>810</v>
      </c>
      <c r="I66" s="20"/>
    </row>
    <row r="67" customFormat="false" ht="15" hidden="false" customHeight="false" outlineLevel="0" collapsed="false">
      <c r="A67" s="16" t="n">
        <v>45678</v>
      </c>
      <c r="B67" s="17" t="s">
        <v>160</v>
      </c>
      <c r="C67" s="17" t="s">
        <v>81</v>
      </c>
      <c r="D67" s="17" t="s">
        <v>98</v>
      </c>
      <c r="E67" s="17" t="n">
        <v>7</v>
      </c>
      <c r="F67" s="18" t="n">
        <v>60</v>
      </c>
      <c r="G67" s="19" t="n">
        <v>0.1</v>
      </c>
      <c r="H67" s="18" t="n">
        <v>378</v>
      </c>
      <c r="I67" s="20"/>
    </row>
    <row r="68" customFormat="false" ht="15" hidden="false" customHeight="false" outlineLevel="0" collapsed="false">
      <c r="A68" s="16" t="n">
        <v>45678</v>
      </c>
      <c r="B68" s="17" t="s">
        <v>161</v>
      </c>
      <c r="C68" s="17" t="s">
        <v>81</v>
      </c>
      <c r="D68" s="17" t="s">
        <v>92</v>
      </c>
      <c r="E68" s="17" t="n">
        <v>11</v>
      </c>
      <c r="F68" s="18" t="n">
        <v>60</v>
      </c>
      <c r="G68" s="19" t="n">
        <v>0</v>
      </c>
      <c r="H68" s="18" t="n">
        <v>660</v>
      </c>
      <c r="I68" s="20"/>
    </row>
    <row r="69" customFormat="false" ht="15" hidden="false" customHeight="false" outlineLevel="0" collapsed="false">
      <c r="A69" s="16" t="n">
        <v>45678</v>
      </c>
      <c r="B69" s="17" t="s">
        <v>162</v>
      </c>
      <c r="C69" s="17" t="s">
        <v>73</v>
      </c>
      <c r="D69" s="17" t="s">
        <v>98</v>
      </c>
      <c r="E69" s="17" t="n">
        <v>16</v>
      </c>
      <c r="F69" s="18" t="n">
        <v>1450</v>
      </c>
      <c r="G69" s="19" t="n">
        <v>0</v>
      </c>
      <c r="H69" s="18" t="n">
        <v>23200</v>
      </c>
      <c r="I69" s="20"/>
    </row>
    <row r="70" customFormat="false" ht="15" hidden="false" customHeight="false" outlineLevel="0" collapsed="false">
      <c r="A70" s="16" t="n">
        <v>45678</v>
      </c>
      <c r="B70" s="17" t="s">
        <v>163</v>
      </c>
      <c r="C70" s="17" t="s">
        <v>78</v>
      </c>
      <c r="D70" s="17" t="s">
        <v>102</v>
      </c>
      <c r="E70" s="17" t="n">
        <v>18</v>
      </c>
      <c r="F70" s="18" t="n">
        <v>95</v>
      </c>
      <c r="G70" s="19" t="n">
        <v>0.05</v>
      </c>
      <c r="H70" s="18" t="n">
        <v>1624.5</v>
      </c>
      <c r="I70" s="20"/>
    </row>
    <row r="71" customFormat="false" ht="15" hidden="false" customHeight="false" outlineLevel="0" collapsed="false">
      <c r="A71" s="16" t="n">
        <v>45679</v>
      </c>
      <c r="B71" s="17" t="s">
        <v>164</v>
      </c>
      <c r="C71" s="17" t="s">
        <v>75</v>
      </c>
      <c r="D71" s="17" t="s">
        <v>96</v>
      </c>
      <c r="E71" s="17" t="n">
        <v>18</v>
      </c>
      <c r="F71" s="18" t="n">
        <v>120</v>
      </c>
      <c r="G71" s="19" t="n">
        <v>0.1</v>
      </c>
      <c r="H71" s="18" t="n">
        <v>1944</v>
      </c>
      <c r="I71" s="20"/>
    </row>
    <row r="72" customFormat="false" ht="15" hidden="false" customHeight="false" outlineLevel="0" collapsed="false">
      <c r="A72" s="16" t="n">
        <v>45679</v>
      </c>
      <c r="B72" s="17" t="s">
        <v>165</v>
      </c>
      <c r="C72" s="17" t="s">
        <v>75</v>
      </c>
      <c r="D72" s="17" t="s">
        <v>102</v>
      </c>
      <c r="E72" s="17" t="n">
        <v>5</v>
      </c>
      <c r="F72" s="18" t="n">
        <v>120</v>
      </c>
      <c r="G72" s="19" t="n">
        <v>0</v>
      </c>
      <c r="H72" s="18" t="n">
        <v>600</v>
      </c>
      <c r="I72" s="20"/>
    </row>
    <row r="73" customFormat="false" ht="15" hidden="false" customHeight="false" outlineLevel="0" collapsed="false">
      <c r="A73" s="16" t="n">
        <v>45679</v>
      </c>
      <c r="B73" s="17" t="s">
        <v>166</v>
      </c>
      <c r="C73" s="17" t="s">
        <v>81</v>
      </c>
      <c r="D73" s="17" t="s">
        <v>98</v>
      </c>
      <c r="E73" s="17" t="n">
        <v>19</v>
      </c>
      <c r="F73" s="18" t="n">
        <v>60</v>
      </c>
      <c r="G73" s="19" t="n">
        <v>0.05</v>
      </c>
      <c r="H73" s="18" t="n">
        <v>1083</v>
      </c>
      <c r="I73" s="20"/>
    </row>
    <row r="74" customFormat="false" ht="15" hidden="false" customHeight="false" outlineLevel="0" collapsed="false">
      <c r="A74" s="16" t="n">
        <v>45679</v>
      </c>
      <c r="B74" s="17" t="s">
        <v>167</v>
      </c>
      <c r="C74" s="17" t="s">
        <v>73</v>
      </c>
      <c r="D74" s="17" t="s">
        <v>102</v>
      </c>
      <c r="E74" s="17" t="n">
        <v>5</v>
      </c>
      <c r="F74" s="18" t="n">
        <v>1450</v>
      </c>
      <c r="G74" s="19" t="n">
        <v>0.1</v>
      </c>
      <c r="H74" s="18" t="n">
        <v>6525</v>
      </c>
      <c r="I74" s="20"/>
    </row>
    <row r="75" customFormat="false" ht="15" hidden="false" customHeight="false" outlineLevel="0" collapsed="false">
      <c r="A75" s="16" t="n">
        <v>45679</v>
      </c>
      <c r="B75" s="17" t="s">
        <v>168</v>
      </c>
      <c r="C75" s="17" t="s">
        <v>70</v>
      </c>
      <c r="D75" s="17" t="s">
        <v>92</v>
      </c>
      <c r="E75" s="17" t="n">
        <v>18</v>
      </c>
      <c r="F75" s="18" t="n">
        <v>850</v>
      </c>
      <c r="G75" s="19" t="n">
        <v>0.05</v>
      </c>
      <c r="H75" s="18" t="n">
        <v>14535</v>
      </c>
      <c r="I75" s="20"/>
    </row>
    <row r="76" customFormat="false" ht="15" hidden="false" customHeight="false" outlineLevel="0" collapsed="false">
      <c r="A76" s="16" t="n">
        <v>45679</v>
      </c>
      <c r="B76" s="17" t="s">
        <v>169</v>
      </c>
      <c r="C76" s="17" t="s">
        <v>81</v>
      </c>
      <c r="D76" s="17" t="s">
        <v>102</v>
      </c>
      <c r="E76" s="17" t="n">
        <v>5</v>
      </c>
      <c r="F76" s="18" t="n">
        <v>60</v>
      </c>
      <c r="G76" s="19" t="n">
        <v>0.05</v>
      </c>
      <c r="H76" s="18" t="n">
        <v>285</v>
      </c>
      <c r="I76" s="20"/>
    </row>
    <row r="77" customFormat="false" ht="15" hidden="false" customHeight="false" outlineLevel="0" collapsed="false">
      <c r="A77" s="16" t="n">
        <v>45680</v>
      </c>
      <c r="B77" s="17" t="s">
        <v>170</v>
      </c>
      <c r="C77" s="17" t="s">
        <v>81</v>
      </c>
      <c r="D77" s="17" t="s">
        <v>98</v>
      </c>
      <c r="E77" s="17" t="n">
        <v>14</v>
      </c>
      <c r="F77" s="18" t="n">
        <v>60</v>
      </c>
      <c r="G77" s="19" t="n">
        <v>0.05</v>
      </c>
      <c r="H77" s="18" t="n">
        <v>798</v>
      </c>
      <c r="I77" s="20"/>
    </row>
    <row r="78" customFormat="false" ht="15" hidden="false" customHeight="false" outlineLevel="0" collapsed="false">
      <c r="A78" s="16" t="n">
        <v>45680</v>
      </c>
      <c r="B78" s="17" t="s">
        <v>171</v>
      </c>
      <c r="C78" s="17" t="s">
        <v>81</v>
      </c>
      <c r="D78" s="17" t="s">
        <v>96</v>
      </c>
      <c r="E78" s="17" t="n">
        <v>9</v>
      </c>
      <c r="F78" s="18" t="n">
        <v>60</v>
      </c>
      <c r="G78" s="19" t="n">
        <v>0.1</v>
      </c>
      <c r="H78" s="18" t="n">
        <v>486</v>
      </c>
      <c r="I78" s="20"/>
    </row>
    <row r="79" customFormat="false" ht="15" hidden="false" customHeight="false" outlineLevel="0" collapsed="false">
      <c r="A79" s="16" t="n">
        <v>45681</v>
      </c>
      <c r="B79" s="17" t="s">
        <v>172</v>
      </c>
      <c r="C79" s="17" t="s">
        <v>81</v>
      </c>
      <c r="D79" s="17" t="s">
        <v>92</v>
      </c>
      <c r="E79" s="17" t="n">
        <v>3</v>
      </c>
      <c r="F79" s="18" t="n">
        <v>60</v>
      </c>
      <c r="G79" s="19" t="n">
        <v>0</v>
      </c>
      <c r="H79" s="18" t="n">
        <v>180</v>
      </c>
      <c r="I79" s="20"/>
    </row>
    <row r="80" customFormat="false" ht="15" hidden="false" customHeight="false" outlineLevel="0" collapsed="false">
      <c r="A80" s="16" t="n">
        <v>45681</v>
      </c>
      <c r="B80" s="17" t="s">
        <v>173</v>
      </c>
      <c r="C80" s="17" t="s">
        <v>70</v>
      </c>
      <c r="D80" s="17" t="s">
        <v>92</v>
      </c>
      <c r="E80" s="17" t="n">
        <v>6</v>
      </c>
      <c r="F80" s="18" t="n">
        <v>850</v>
      </c>
      <c r="G80" s="19" t="n">
        <v>0.1</v>
      </c>
      <c r="H80" s="18" t="n">
        <v>4590</v>
      </c>
      <c r="I80" s="20"/>
    </row>
    <row r="81" customFormat="false" ht="15" hidden="false" customHeight="false" outlineLevel="0" collapsed="false">
      <c r="A81" s="16" t="n">
        <v>45682</v>
      </c>
      <c r="B81" s="17" t="s">
        <v>174</v>
      </c>
      <c r="C81" s="17" t="s">
        <v>81</v>
      </c>
      <c r="D81" s="17" t="s">
        <v>92</v>
      </c>
      <c r="E81" s="17" t="n">
        <v>15</v>
      </c>
      <c r="F81" s="18" t="n">
        <v>60</v>
      </c>
      <c r="G81" s="19" t="n">
        <v>0</v>
      </c>
      <c r="H81" s="18" t="n">
        <v>900</v>
      </c>
      <c r="I81" s="20"/>
    </row>
    <row r="82" customFormat="false" ht="15" hidden="false" customHeight="false" outlineLevel="0" collapsed="false">
      <c r="A82" s="16" t="n">
        <v>45682</v>
      </c>
      <c r="B82" s="17" t="s">
        <v>175</v>
      </c>
      <c r="C82" s="17" t="s">
        <v>78</v>
      </c>
      <c r="D82" s="17" t="s">
        <v>98</v>
      </c>
      <c r="E82" s="17" t="n">
        <v>8</v>
      </c>
      <c r="F82" s="18" t="n">
        <v>95</v>
      </c>
      <c r="G82" s="19" t="n">
        <v>0</v>
      </c>
      <c r="H82" s="18" t="n">
        <v>760</v>
      </c>
      <c r="I82" s="20"/>
    </row>
    <row r="83" customFormat="false" ht="15" hidden="false" customHeight="false" outlineLevel="0" collapsed="false">
      <c r="A83" s="16" t="n">
        <v>45683</v>
      </c>
      <c r="B83" s="17" t="s">
        <v>176</v>
      </c>
      <c r="C83" s="17" t="s">
        <v>78</v>
      </c>
      <c r="D83" s="17" t="s">
        <v>102</v>
      </c>
      <c r="E83" s="17" t="n">
        <v>14</v>
      </c>
      <c r="F83" s="18" t="n">
        <v>95</v>
      </c>
      <c r="G83" s="19" t="n">
        <v>0</v>
      </c>
      <c r="H83" s="18" t="n">
        <v>1330</v>
      </c>
      <c r="I83" s="20"/>
    </row>
    <row r="84" customFormat="false" ht="15" hidden="false" customHeight="false" outlineLevel="0" collapsed="false">
      <c r="A84" s="16" t="n">
        <v>45683</v>
      </c>
      <c r="B84" s="17" t="s">
        <v>177</v>
      </c>
      <c r="C84" s="17" t="s">
        <v>73</v>
      </c>
      <c r="D84" s="17" t="s">
        <v>102</v>
      </c>
      <c r="E84" s="17" t="n">
        <v>18</v>
      </c>
      <c r="F84" s="18" t="n">
        <v>1450</v>
      </c>
      <c r="G84" s="19" t="n">
        <v>0</v>
      </c>
      <c r="H84" s="18" t="n">
        <v>26100</v>
      </c>
      <c r="I84" s="20"/>
    </row>
    <row r="85" customFormat="false" ht="15" hidden="false" customHeight="false" outlineLevel="0" collapsed="false">
      <c r="A85" s="16" t="n">
        <v>45684</v>
      </c>
      <c r="B85" s="17" t="s">
        <v>178</v>
      </c>
      <c r="C85" s="17" t="s">
        <v>75</v>
      </c>
      <c r="D85" s="17" t="s">
        <v>98</v>
      </c>
      <c r="E85" s="17" t="n">
        <v>1</v>
      </c>
      <c r="F85" s="18" t="n">
        <v>120</v>
      </c>
      <c r="G85" s="19" t="n">
        <v>0</v>
      </c>
      <c r="H85" s="18" t="n">
        <v>120</v>
      </c>
      <c r="I85" s="20"/>
    </row>
    <row r="86" customFormat="false" ht="15" hidden="false" customHeight="false" outlineLevel="0" collapsed="false">
      <c r="A86" s="16" t="n">
        <v>45684</v>
      </c>
      <c r="B86" s="17" t="s">
        <v>179</v>
      </c>
      <c r="C86" s="17" t="s">
        <v>75</v>
      </c>
      <c r="D86" s="17" t="s">
        <v>92</v>
      </c>
      <c r="E86" s="17" t="n">
        <v>11</v>
      </c>
      <c r="F86" s="18" t="n">
        <v>120</v>
      </c>
      <c r="G86" s="19" t="n">
        <v>0.05</v>
      </c>
      <c r="H86" s="18" t="n">
        <v>1254</v>
      </c>
      <c r="I86" s="20"/>
    </row>
    <row r="87" customFormat="false" ht="15" hidden="false" customHeight="false" outlineLevel="0" collapsed="false">
      <c r="A87" s="16" t="n">
        <v>45685</v>
      </c>
      <c r="B87" s="17" t="s">
        <v>180</v>
      </c>
      <c r="C87" s="17" t="s">
        <v>78</v>
      </c>
      <c r="D87" s="17" t="s">
        <v>92</v>
      </c>
      <c r="E87" s="17" t="n">
        <v>19</v>
      </c>
      <c r="F87" s="18" t="n">
        <v>95</v>
      </c>
      <c r="G87" s="19" t="n">
        <v>0.05</v>
      </c>
      <c r="H87" s="18" t="n">
        <v>1714.75</v>
      </c>
      <c r="I87" s="20"/>
    </row>
    <row r="88" customFormat="false" ht="15" hidden="false" customHeight="false" outlineLevel="0" collapsed="false">
      <c r="A88" s="16" t="n">
        <v>45685</v>
      </c>
      <c r="B88" s="17" t="s">
        <v>181</v>
      </c>
      <c r="C88" s="17" t="s">
        <v>73</v>
      </c>
      <c r="D88" s="17" t="s">
        <v>98</v>
      </c>
      <c r="E88" s="17" t="n">
        <v>12</v>
      </c>
      <c r="F88" s="18" t="n">
        <v>1450</v>
      </c>
      <c r="G88" s="19" t="n">
        <v>0.1</v>
      </c>
      <c r="H88" s="18" t="n">
        <v>15660</v>
      </c>
      <c r="I88" s="20"/>
    </row>
    <row r="89" customFormat="false" ht="15" hidden="false" customHeight="false" outlineLevel="0" collapsed="false">
      <c r="A89" s="16" t="n">
        <v>45685</v>
      </c>
      <c r="B89" s="17" t="s">
        <v>182</v>
      </c>
      <c r="C89" s="17" t="s">
        <v>73</v>
      </c>
      <c r="D89" s="17" t="s">
        <v>96</v>
      </c>
      <c r="E89" s="17" t="n">
        <v>12</v>
      </c>
      <c r="F89" s="18" t="n">
        <v>1450</v>
      </c>
      <c r="G89" s="19" t="n">
        <v>0</v>
      </c>
      <c r="H89" s="18" t="n">
        <v>17400</v>
      </c>
      <c r="I89" s="20"/>
    </row>
    <row r="90" customFormat="false" ht="15" hidden="false" customHeight="false" outlineLevel="0" collapsed="false">
      <c r="A90" s="16" t="n">
        <v>45689</v>
      </c>
      <c r="B90" s="17" t="s">
        <v>183</v>
      </c>
      <c r="C90" s="17" t="s">
        <v>75</v>
      </c>
      <c r="D90" s="17" t="s">
        <v>92</v>
      </c>
      <c r="E90" s="17" t="n">
        <v>17</v>
      </c>
      <c r="F90" s="18" t="n">
        <v>120</v>
      </c>
      <c r="G90" s="19" t="n">
        <v>0.05</v>
      </c>
      <c r="H90" s="18" t="n">
        <v>1938</v>
      </c>
      <c r="I90" s="20"/>
    </row>
    <row r="91" customFormat="false" ht="15" hidden="false" customHeight="false" outlineLevel="0" collapsed="false">
      <c r="A91" s="16" t="n">
        <v>45689</v>
      </c>
      <c r="B91" s="17" t="s">
        <v>184</v>
      </c>
      <c r="C91" s="17" t="s">
        <v>70</v>
      </c>
      <c r="D91" s="17" t="s">
        <v>102</v>
      </c>
      <c r="E91" s="17" t="n">
        <v>17</v>
      </c>
      <c r="F91" s="18" t="n">
        <v>850</v>
      </c>
      <c r="G91" s="19" t="n">
        <v>0</v>
      </c>
      <c r="H91" s="18" t="n">
        <v>14450</v>
      </c>
      <c r="I91" s="20"/>
    </row>
    <row r="92" customFormat="false" ht="15" hidden="false" customHeight="false" outlineLevel="0" collapsed="false">
      <c r="A92" s="16" t="n">
        <v>45689</v>
      </c>
      <c r="B92" s="17" t="s">
        <v>185</v>
      </c>
      <c r="C92" s="17" t="s">
        <v>73</v>
      </c>
      <c r="D92" s="17" t="s">
        <v>102</v>
      </c>
      <c r="E92" s="17" t="n">
        <v>15</v>
      </c>
      <c r="F92" s="18" t="n">
        <v>1450</v>
      </c>
      <c r="G92" s="19" t="n">
        <v>0.1</v>
      </c>
      <c r="H92" s="18" t="n">
        <v>19575</v>
      </c>
      <c r="I92" s="20"/>
    </row>
    <row r="93" customFormat="false" ht="15" hidden="false" customHeight="false" outlineLevel="0" collapsed="false">
      <c r="A93" s="16" t="n">
        <v>45689</v>
      </c>
      <c r="B93" s="17" t="s">
        <v>186</v>
      </c>
      <c r="C93" s="17" t="s">
        <v>78</v>
      </c>
      <c r="D93" s="17" t="s">
        <v>96</v>
      </c>
      <c r="E93" s="17" t="n">
        <v>12</v>
      </c>
      <c r="F93" s="18" t="n">
        <v>95</v>
      </c>
      <c r="G93" s="19" t="n">
        <v>0</v>
      </c>
      <c r="H93" s="18" t="n">
        <v>1140</v>
      </c>
      <c r="I93" s="20"/>
    </row>
    <row r="94" customFormat="false" ht="15" hidden="false" customHeight="false" outlineLevel="0" collapsed="false">
      <c r="A94" s="16" t="n">
        <v>45690</v>
      </c>
      <c r="B94" s="17" t="s">
        <v>187</v>
      </c>
      <c r="C94" s="17" t="s">
        <v>73</v>
      </c>
      <c r="D94" s="17" t="s">
        <v>102</v>
      </c>
      <c r="E94" s="17" t="n">
        <v>4</v>
      </c>
      <c r="F94" s="18" t="n">
        <v>1450</v>
      </c>
      <c r="G94" s="19" t="n">
        <v>0</v>
      </c>
      <c r="H94" s="18" t="n">
        <v>5800</v>
      </c>
      <c r="I94" s="20"/>
    </row>
    <row r="95" customFormat="false" ht="15" hidden="false" customHeight="false" outlineLevel="0" collapsed="false">
      <c r="A95" s="16" t="n">
        <v>45690</v>
      </c>
      <c r="B95" s="17" t="s">
        <v>188</v>
      </c>
      <c r="C95" s="17" t="s">
        <v>70</v>
      </c>
      <c r="D95" s="17" t="s">
        <v>102</v>
      </c>
      <c r="E95" s="17" t="n">
        <v>12</v>
      </c>
      <c r="F95" s="18" t="n">
        <v>850</v>
      </c>
      <c r="G95" s="19" t="n">
        <v>0.1</v>
      </c>
      <c r="H95" s="18" t="n">
        <v>9180</v>
      </c>
      <c r="I95" s="20"/>
    </row>
    <row r="96" customFormat="false" ht="15" hidden="false" customHeight="false" outlineLevel="0" collapsed="false">
      <c r="A96" s="16" t="n">
        <v>45690</v>
      </c>
      <c r="B96" s="17" t="s">
        <v>189</v>
      </c>
      <c r="C96" s="17" t="s">
        <v>70</v>
      </c>
      <c r="D96" s="17" t="s">
        <v>92</v>
      </c>
      <c r="E96" s="17" t="n">
        <v>20</v>
      </c>
      <c r="F96" s="18" t="n">
        <v>850</v>
      </c>
      <c r="G96" s="19" t="n">
        <v>0.1</v>
      </c>
      <c r="H96" s="18" t="n">
        <v>15300</v>
      </c>
      <c r="I96" s="20"/>
    </row>
    <row r="97" customFormat="false" ht="15" hidden="false" customHeight="false" outlineLevel="0" collapsed="false">
      <c r="A97" s="16" t="n">
        <v>45690</v>
      </c>
      <c r="B97" s="17" t="s">
        <v>190</v>
      </c>
      <c r="C97" s="17" t="s">
        <v>75</v>
      </c>
      <c r="D97" s="17" t="s">
        <v>92</v>
      </c>
      <c r="E97" s="17" t="n">
        <v>3</v>
      </c>
      <c r="F97" s="18" t="n">
        <v>120</v>
      </c>
      <c r="G97" s="19" t="n">
        <v>0</v>
      </c>
      <c r="H97" s="18" t="n">
        <v>360</v>
      </c>
      <c r="I97" s="20"/>
    </row>
    <row r="98" customFormat="false" ht="15" hidden="false" customHeight="false" outlineLevel="0" collapsed="false">
      <c r="A98" s="16" t="n">
        <v>45691</v>
      </c>
      <c r="B98" s="17" t="s">
        <v>191</v>
      </c>
      <c r="C98" s="17" t="s">
        <v>75</v>
      </c>
      <c r="D98" s="17" t="s">
        <v>98</v>
      </c>
      <c r="E98" s="17" t="n">
        <v>10</v>
      </c>
      <c r="F98" s="18" t="n">
        <v>120</v>
      </c>
      <c r="G98" s="19" t="n">
        <v>0</v>
      </c>
      <c r="H98" s="18" t="n">
        <v>1200</v>
      </c>
      <c r="I98" s="20"/>
    </row>
    <row r="99" customFormat="false" ht="15" hidden="false" customHeight="false" outlineLevel="0" collapsed="false">
      <c r="A99" s="16" t="n">
        <v>45691</v>
      </c>
      <c r="B99" s="17" t="s">
        <v>192</v>
      </c>
      <c r="C99" s="17" t="s">
        <v>70</v>
      </c>
      <c r="D99" s="17" t="s">
        <v>102</v>
      </c>
      <c r="E99" s="17" t="n">
        <v>3</v>
      </c>
      <c r="F99" s="18" t="n">
        <v>850</v>
      </c>
      <c r="G99" s="19" t="n">
        <v>0.05</v>
      </c>
      <c r="H99" s="18" t="n">
        <v>2422.5</v>
      </c>
      <c r="I99" s="20"/>
    </row>
    <row r="100" customFormat="false" ht="15" hidden="false" customHeight="false" outlineLevel="0" collapsed="false">
      <c r="A100" s="16" t="n">
        <v>45691</v>
      </c>
      <c r="B100" s="17" t="s">
        <v>193</v>
      </c>
      <c r="C100" s="17" t="s">
        <v>81</v>
      </c>
      <c r="D100" s="17" t="s">
        <v>96</v>
      </c>
      <c r="E100" s="17" t="n">
        <v>6</v>
      </c>
      <c r="F100" s="18" t="n">
        <v>60</v>
      </c>
      <c r="G100" s="19" t="n">
        <v>0</v>
      </c>
      <c r="H100" s="18" t="n">
        <v>360</v>
      </c>
      <c r="I100" s="20"/>
    </row>
    <row r="101" customFormat="false" ht="15" hidden="false" customHeight="false" outlineLevel="0" collapsed="false">
      <c r="A101" s="16" t="n">
        <v>45691</v>
      </c>
      <c r="B101" s="17" t="s">
        <v>194</v>
      </c>
      <c r="C101" s="17" t="s">
        <v>73</v>
      </c>
      <c r="D101" s="17" t="s">
        <v>92</v>
      </c>
      <c r="E101" s="17" t="n">
        <v>7</v>
      </c>
      <c r="F101" s="18" t="n">
        <v>1450</v>
      </c>
      <c r="G101" s="19" t="n">
        <v>0</v>
      </c>
      <c r="H101" s="18" t="n">
        <v>10150</v>
      </c>
      <c r="I101" s="20"/>
    </row>
    <row r="102" customFormat="false" ht="15" hidden="false" customHeight="false" outlineLevel="0" collapsed="false">
      <c r="A102" s="16" t="n">
        <v>45691</v>
      </c>
      <c r="B102" s="17" t="s">
        <v>195</v>
      </c>
      <c r="C102" s="17" t="s">
        <v>73</v>
      </c>
      <c r="D102" s="17" t="s">
        <v>92</v>
      </c>
      <c r="E102" s="17" t="n">
        <v>18</v>
      </c>
      <c r="F102" s="18" t="n">
        <v>1450</v>
      </c>
      <c r="G102" s="19" t="n">
        <v>0</v>
      </c>
      <c r="H102" s="18" t="n">
        <v>26100</v>
      </c>
      <c r="I102" s="20"/>
    </row>
    <row r="103" customFormat="false" ht="15" hidden="false" customHeight="false" outlineLevel="0" collapsed="false">
      <c r="A103" s="16" t="n">
        <v>45692</v>
      </c>
      <c r="B103" s="17" t="s">
        <v>196</v>
      </c>
      <c r="C103" s="17" t="s">
        <v>70</v>
      </c>
      <c r="D103" s="17" t="s">
        <v>92</v>
      </c>
      <c r="E103" s="17" t="n">
        <v>9</v>
      </c>
      <c r="F103" s="18" t="n">
        <v>850</v>
      </c>
      <c r="G103" s="19" t="n">
        <v>0.05</v>
      </c>
      <c r="H103" s="18" t="n">
        <v>7267.5</v>
      </c>
      <c r="I103" s="20"/>
    </row>
    <row r="104" customFormat="false" ht="15" hidden="false" customHeight="false" outlineLevel="0" collapsed="false">
      <c r="A104" s="16" t="n">
        <v>45693</v>
      </c>
      <c r="B104" s="17" t="s">
        <v>197</v>
      </c>
      <c r="C104" s="17" t="s">
        <v>75</v>
      </c>
      <c r="D104" s="17" t="s">
        <v>96</v>
      </c>
      <c r="E104" s="17" t="n">
        <v>19</v>
      </c>
      <c r="F104" s="18" t="n">
        <v>120</v>
      </c>
      <c r="G104" s="19" t="n">
        <v>0.1</v>
      </c>
      <c r="H104" s="18" t="n">
        <v>2052</v>
      </c>
      <c r="I104" s="20"/>
    </row>
    <row r="105" customFormat="false" ht="15" hidden="false" customHeight="false" outlineLevel="0" collapsed="false">
      <c r="A105" s="16" t="n">
        <v>45693</v>
      </c>
      <c r="B105" s="17" t="s">
        <v>198</v>
      </c>
      <c r="C105" s="17" t="s">
        <v>81</v>
      </c>
      <c r="D105" s="17" t="s">
        <v>98</v>
      </c>
      <c r="E105" s="17" t="n">
        <v>18</v>
      </c>
      <c r="F105" s="18" t="n">
        <v>60</v>
      </c>
      <c r="G105" s="19" t="n">
        <v>0</v>
      </c>
      <c r="H105" s="18" t="n">
        <v>1080</v>
      </c>
      <c r="I105" s="20"/>
    </row>
    <row r="106" customFormat="false" ht="15" hidden="false" customHeight="false" outlineLevel="0" collapsed="false">
      <c r="A106" s="16" t="n">
        <v>45693</v>
      </c>
      <c r="B106" s="17" t="s">
        <v>199</v>
      </c>
      <c r="C106" s="17" t="s">
        <v>81</v>
      </c>
      <c r="D106" s="17" t="s">
        <v>102</v>
      </c>
      <c r="E106" s="17" t="n">
        <v>2</v>
      </c>
      <c r="F106" s="18" t="n">
        <v>60</v>
      </c>
      <c r="G106" s="19" t="n">
        <v>0</v>
      </c>
      <c r="H106" s="18" t="n">
        <v>120</v>
      </c>
      <c r="I106" s="20"/>
    </row>
    <row r="107" customFormat="false" ht="15" hidden="false" customHeight="false" outlineLevel="0" collapsed="false">
      <c r="A107" s="16" t="n">
        <v>45694</v>
      </c>
      <c r="B107" s="17" t="s">
        <v>200</v>
      </c>
      <c r="C107" s="17" t="s">
        <v>75</v>
      </c>
      <c r="D107" s="17" t="s">
        <v>98</v>
      </c>
      <c r="E107" s="17" t="n">
        <v>18</v>
      </c>
      <c r="F107" s="18" t="n">
        <v>120</v>
      </c>
      <c r="G107" s="19" t="n">
        <v>0</v>
      </c>
      <c r="H107" s="18" t="n">
        <v>2160</v>
      </c>
      <c r="I107" s="20"/>
    </row>
    <row r="108" customFormat="false" ht="15" hidden="false" customHeight="false" outlineLevel="0" collapsed="false">
      <c r="A108" s="16" t="n">
        <v>45694</v>
      </c>
      <c r="B108" s="17" t="s">
        <v>201</v>
      </c>
      <c r="C108" s="17" t="s">
        <v>81</v>
      </c>
      <c r="D108" s="17" t="s">
        <v>96</v>
      </c>
      <c r="E108" s="17" t="n">
        <v>17</v>
      </c>
      <c r="F108" s="18" t="n">
        <v>60</v>
      </c>
      <c r="G108" s="19" t="n">
        <v>0</v>
      </c>
      <c r="H108" s="18" t="n">
        <v>1020</v>
      </c>
      <c r="I108" s="20"/>
    </row>
    <row r="109" customFormat="false" ht="15" hidden="false" customHeight="false" outlineLevel="0" collapsed="false">
      <c r="A109" s="16" t="n">
        <v>45694</v>
      </c>
      <c r="B109" s="17" t="s">
        <v>202</v>
      </c>
      <c r="C109" s="17" t="s">
        <v>70</v>
      </c>
      <c r="D109" s="17" t="s">
        <v>96</v>
      </c>
      <c r="E109" s="17" t="n">
        <v>6</v>
      </c>
      <c r="F109" s="18" t="n">
        <v>850</v>
      </c>
      <c r="G109" s="19" t="n">
        <v>0</v>
      </c>
      <c r="H109" s="18" t="n">
        <v>5100</v>
      </c>
      <c r="I109" s="20"/>
    </row>
    <row r="110" customFormat="false" ht="15" hidden="false" customHeight="false" outlineLevel="0" collapsed="false">
      <c r="A110" s="16" t="n">
        <v>45694</v>
      </c>
      <c r="B110" s="17" t="s">
        <v>203</v>
      </c>
      <c r="C110" s="17" t="s">
        <v>70</v>
      </c>
      <c r="D110" s="17" t="s">
        <v>92</v>
      </c>
      <c r="E110" s="17" t="n">
        <v>7</v>
      </c>
      <c r="F110" s="18" t="n">
        <v>850</v>
      </c>
      <c r="G110" s="19" t="n">
        <v>0.1</v>
      </c>
      <c r="H110" s="18" t="n">
        <v>5355</v>
      </c>
      <c r="I110" s="20"/>
    </row>
    <row r="111" customFormat="false" ht="15" hidden="false" customHeight="false" outlineLevel="0" collapsed="false">
      <c r="A111" s="16" t="n">
        <v>45695</v>
      </c>
      <c r="B111" s="17" t="s">
        <v>204</v>
      </c>
      <c r="C111" s="17" t="s">
        <v>73</v>
      </c>
      <c r="D111" s="17" t="s">
        <v>98</v>
      </c>
      <c r="E111" s="17" t="n">
        <v>15</v>
      </c>
      <c r="F111" s="18" t="n">
        <v>1450</v>
      </c>
      <c r="G111" s="19" t="n">
        <v>0.1</v>
      </c>
      <c r="H111" s="18" t="n">
        <v>19575</v>
      </c>
      <c r="I111" s="20"/>
    </row>
    <row r="112" customFormat="false" ht="15" hidden="false" customHeight="false" outlineLevel="0" collapsed="false">
      <c r="A112" s="16" t="n">
        <v>45695</v>
      </c>
      <c r="B112" s="17" t="s">
        <v>205</v>
      </c>
      <c r="C112" s="17" t="s">
        <v>75</v>
      </c>
      <c r="D112" s="17" t="s">
        <v>96</v>
      </c>
      <c r="E112" s="17" t="n">
        <v>9</v>
      </c>
      <c r="F112" s="18" t="n">
        <v>120</v>
      </c>
      <c r="G112" s="19" t="n">
        <v>0.1</v>
      </c>
      <c r="H112" s="18" t="n">
        <v>972</v>
      </c>
      <c r="I112" s="20"/>
    </row>
    <row r="113" customFormat="false" ht="15" hidden="false" customHeight="false" outlineLevel="0" collapsed="false">
      <c r="A113" s="16" t="n">
        <v>45695</v>
      </c>
      <c r="B113" s="17" t="s">
        <v>206</v>
      </c>
      <c r="C113" s="17" t="s">
        <v>75</v>
      </c>
      <c r="D113" s="17" t="s">
        <v>96</v>
      </c>
      <c r="E113" s="17" t="n">
        <v>6</v>
      </c>
      <c r="F113" s="18" t="n">
        <v>120</v>
      </c>
      <c r="G113" s="19" t="n">
        <v>0.1</v>
      </c>
      <c r="H113" s="18" t="n">
        <v>648</v>
      </c>
      <c r="I113" s="20"/>
    </row>
    <row r="114" customFormat="false" ht="15" hidden="false" customHeight="false" outlineLevel="0" collapsed="false">
      <c r="A114" s="16" t="n">
        <v>45695</v>
      </c>
      <c r="B114" s="17" t="s">
        <v>207</v>
      </c>
      <c r="C114" s="17" t="s">
        <v>78</v>
      </c>
      <c r="D114" s="17" t="s">
        <v>92</v>
      </c>
      <c r="E114" s="17" t="n">
        <v>7</v>
      </c>
      <c r="F114" s="18" t="n">
        <v>95</v>
      </c>
      <c r="G114" s="19" t="n">
        <v>0.05</v>
      </c>
      <c r="H114" s="18" t="n">
        <v>631.75</v>
      </c>
      <c r="I114" s="20"/>
    </row>
    <row r="115" customFormat="false" ht="15" hidden="false" customHeight="false" outlineLevel="0" collapsed="false">
      <c r="A115" s="16" t="n">
        <v>45695</v>
      </c>
      <c r="B115" s="17" t="s">
        <v>208</v>
      </c>
      <c r="C115" s="17" t="s">
        <v>70</v>
      </c>
      <c r="D115" s="17" t="s">
        <v>96</v>
      </c>
      <c r="E115" s="17" t="n">
        <v>19</v>
      </c>
      <c r="F115" s="18" t="n">
        <v>850</v>
      </c>
      <c r="G115" s="19" t="n">
        <v>0.05</v>
      </c>
      <c r="H115" s="18" t="n">
        <v>15342.5</v>
      </c>
      <c r="I115" s="20"/>
    </row>
    <row r="116" customFormat="false" ht="15" hidden="false" customHeight="false" outlineLevel="0" collapsed="false">
      <c r="A116" s="16" t="n">
        <v>45696</v>
      </c>
      <c r="B116" s="17" t="s">
        <v>209</v>
      </c>
      <c r="C116" s="17" t="s">
        <v>75</v>
      </c>
      <c r="D116" s="17" t="s">
        <v>96</v>
      </c>
      <c r="E116" s="17" t="n">
        <v>12</v>
      </c>
      <c r="F116" s="18" t="n">
        <v>120</v>
      </c>
      <c r="G116" s="19" t="n">
        <v>0.05</v>
      </c>
      <c r="H116" s="18" t="n">
        <v>1368</v>
      </c>
      <c r="I116" s="20"/>
    </row>
    <row r="117" customFormat="false" ht="15" hidden="false" customHeight="false" outlineLevel="0" collapsed="false">
      <c r="A117" s="16" t="n">
        <v>45696</v>
      </c>
      <c r="B117" s="17" t="s">
        <v>210</v>
      </c>
      <c r="C117" s="17" t="s">
        <v>75</v>
      </c>
      <c r="D117" s="17" t="s">
        <v>92</v>
      </c>
      <c r="E117" s="17" t="n">
        <v>5</v>
      </c>
      <c r="F117" s="18" t="n">
        <v>120</v>
      </c>
      <c r="G117" s="19" t="n">
        <v>0.1</v>
      </c>
      <c r="H117" s="18" t="n">
        <v>540</v>
      </c>
      <c r="I117" s="20"/>
    </row>
    <row r="118" customFormat="false" ht="15" hidden="false" customHeight="false" outlineLevel="0" collapsed="false">
      <c r="A118" s="16" t="n">
        <v>45696</v>
      </c>
      <c r="B118" s="17" t="s">
        <v>211</v>
      </c>
      <c r="C118" s="17" t="s">
        <v>78</v>
      </c>
      <c r="D118" s="17" t="s">
        <v>98</v>
      </c>
      <c r="E118" s="17" t="n">
        <v>7</v>
      </c>
      <c r="F118" s="18" t="n">
        <v>95</v>
      </c>
      <c r="G118" s="19" t="n">
        <v>0.1</v>
      </c>
      <c r="H118" s="18" t="n">
        <v>598.5</v>
      </c>
      <c r="I118" s="20"/>
    </row>
    <row r="119" customFormat="false" ht="15" hidden="false" customHeight="false" outlineLevel="0" collapsed="false">
      <c r="A119" s="16" t="n">
        <v>45696</v>
      </c>
      <c r="B119" s="17" t="s">
        <v>212</v>
      </c>
      <c r="C119" s="17" t="s">
        <v>75</v>
      </c>
      <c r="D119" s="17" t="s">
        <v>96</v>
      </c>
      <c r="E119" s="17" t="n">
        <v>15</v>
      </c>
      <c r="F119" s="18" t="n">
        <v>120</v>
      </c>
      <c r="G119" s="19" t="n">
        <v>0</v>
      </c>
      <c r="H119" s="18" t="n">
        <v>1800</v>
      </c>
      <c r="I119" s="20"/>
    </row>
    <row r="120" customFormat="false" ht="15" hidden="false" customHeight="false" outlineLevel="0" collapsed="false">
      <c r="A120" s="16" t="n">
        <v>45696</v>
      </c>
      <c r="B120" s="17" t="s">
        <v>213</v>
      </c>
      <c r="C120" s="17" t="s">
        <v>81</v>
      </c>
      <c r="D120" s="17" t="s">
        <v>92</v>
      </c>
      <c r="E120" s="17" t="n">
        <v>11</v>
      </c>
      <c r="F120" s="18" t="n">
        <v>60</v>
      </c>
      <c r="G120" s="19" t="n">
        <v>0.05</v>
      </c>
      <c r="H120" s="18" t="n">
        <v>627</v>
      </c>
      <c r="I120" s="20"/>
    </row>
    <row r="121" customFormat="false" ht="15" hidden="false" customHeight="false" outlineLevel="0" collapsed="false">
      <c r="A121" s="16" t="n">
        <v>45696</v>
      </c>
      <c r="B121" s="17" t="s">
        <v>214</v>
      </c>
      <c r="C121" s="17" t="s">
        <v>73</v>
      </c>
      <c r="D121" s="17" t="s">
        <v>98</v>
      </c>
      <c r="E121" s="17" t="n">
        <v>2</v>
      </c>
      <c r="F121" s="18" t="n">
        <v>1450</v>
      </c>
      <c r="G121" s="19" t="n">
        <v>0</v>
      </c>
      <c r="H121" s="18" t="n">
        <v>2900</v>
      </c>
      <c r="I121" s="20"/>
    </row>
    <row r="122" customFormat="false" ht="15" hidden="false" customHeight="false" outlineLevel="0" collapsed="false">
      <c r="A122" s="16" t="n">
        <v>45697</v>
      </c>
      <c r="B122" s="17" t="s">
        <v>215</v>
      </c>
      <c r="C122" s="17" t="s">
        <v>81</v>
      </c>
      <c r="D122" s="17" t="s">
        <v>102</v>
      </c>
      <c r="E122" s="17" t="n">
        <v>10</v>
      </c>
      <c r="F122" s="18" t="n">
        <v>60</v>
      </c>
      <c r="G122" s="19" t="n">
        <v>0</v>
      </c>
      <c r="H122" s="18" t="n">
        <v>600</v>
      </c>
      <c r="I122" s="20"/>
    </row>
    <row r="123" customFormat="false" ht="15" hidden="false" customHeight="false" outlineLevel="0" collapsed="false">
      <c r="A123" s="16" t="n">
        <v>45697</v>
      </c>
      <c r="B123" s="17" t="s">
        <v>216</v>
      </c>
      <c r="C123" s="17" t="s">
        <v>73</v>
      </c>
      <c r="D123" s="17" t="s">
        <v>96</v>
      </c>
      <c r="E123" s="17" t="n">
        <v>6</v>
      </c>
      <c r="F123" s="18" t="n">
        <v>1450</v>
      </c>
      <c r="G123" s="19" t="n">
        <v>0</v>
      </c>
      <c r="H123" s="18" t="n">
        <v>8700</v>
      </c>
      <c r="I123" s="20"/>
    </row>
    <row r="124" customFormat="false" ht="15" hidden="false" customHeight="false" outlineLevel="0" collapsed="false">
      <c r="A124" s="16" t="n">
        <v>45697</v>
      </c>
      <c r="B124" s="17" t="s">
        <v>217</v>
      </c>
      <c r="C124" s="17" t="s">
        <v>78</v>
      </c>
      <c r="D124" s="17" t="s">
        <v>102</v>
      </c>
      <c r="E124" s="17" t="n">
        <v>9</v>
      </c>
      <c r="F124" s="18" t="n">
        <v>95</v>
      </c>
      <c r="G124" s="19" t="n">
        <v>0</v>
      </c>
      <c r="H124" s="18" t="n">
        <v>855</v>
      </c>
      <c r="I124" s="20"/>
    </row>
    <row r="125" customFormat="false" ht="15" hidden="false" customHeight="false" outlineLevel="0" collapsed="false">
      <c r="A125" s="16" t="n">
        <v>45697</v>
      </c>
      <c r="B125" s="17" t="s">
        <v>218</v>
      </c>
      <c r="C125" s="17" t="s">
        <v>75</v>
      </c>
      <c r="D125" s="17" t="s">
        <v>96</v>
      </c>
      <c r="E125" s="17" t="n">
        <v>19</v>
      </c>
      <c r="F125" s="18" t="n">
        <v>120</v>
      </c>
      <c r="G125" s="19" t="n">
        <v>0.05</v>
      </c>
      <c r="H125" s="18" t="n">
        <v>2166</v>
      </c>
      <c r="I125" s="20"/>
    </row>
    <row r="126" customFormat="false" ht="15" hidden="false" customHeight="false" outlineLevel="0" collapsed="false">
      <c r="A126" s="16" t="n">
        <v>45697</v>
      </c>
      <c r="B126" s="17" t="s">
        <v>219</v>
      </c>
      <c r="C126" s="17" t="s">
        <v>75</v>
      </c>
      <c r="D126" s="17" t="s">
        <v>92</v>
      </c>
      <c r="E126" s="17" t="n">
        <v>16</v>
      </c>
      <c r="F126" s="18" t="n">
        <v>120</v>
      </c>
      <c r="G126" s="19" t="n">
        <v>0</v>
      </c>
      <c r="H126" s="18" t="n">
        <v>1920</v>
      </c>
      <c r="I126" s="20"/>
    </row>
    <row r="127" customFormat="false" ht="15" hidden="false" customHeight="false" outlineLevel="0" collapsed="false">
      <c r="A127" s="16" t="n">
        <v>45697</v>
      </c>
      <c r="B127" s="17" t="s">
        <v>220</v>
      </c>
      <c r="C127" s="17" t="s">
        <v>73</v>
      </c>
      <c r="D127" s="17" t="s">
        <v>92</v>
      </c>
      <c r="E127" s="17" t="n">
        <v>1</v>
      </c>
      <c r="F127" s="18" t="n">
        <v>1450</v>
      </c>
      <c r="G127" s="19" t="n">
        <v>0</v>
      </c>
      <c r="H127" s="18" t="n">
        <v>1450</v>
      </c>
      <c r="I127" s="20"/>
    </row>
    <row r="128" customFormat="false" ht="15" hidden="false" customHeight="false" outlineLevel="0" collapsed="false">
      <c r="A128" s="16" t="n">
        <v>45698</v>
      </c>
      <c r="B128" s="17" t="s">
        <v>221</v>
      </c>
      <c r="C128" s="17" t="s">
        <v>81</v>
      </c>
      <c r="D128" s="17" t="s">
        <v>98</v>
      </c>
      <c r="E128" s="17" t="n">
        <v>10</v>
      </c>
      <c r="F128" s="18" t="n">
        <v>60</v>
      </c>
      <c r="G128" s="19" t="n">
        <v>0</v>
      </c>
      <c r="H128" s="18" t="n">
        <v>600</v>
      </c>
      <c r="I128" s="20"/>
    </row>
    <row r="129" customFormat="false" ht="15" hidden="false" customHeight="false" outlineLevel="0" collapsed="false">
      <c r="A129" s="16" t="n">
        <v>45698</v>
      </c>
      <c r="B129" s="17" t="s">
        <v>222</v>
      </c>
      <c r="C129" s="17" t="s">
        <v>73</v>
      </c>
      <c r="D129" s="17" t="s">
        <v>96</v>
      </c>
      <c r="E129" s="17" t="n">
        <v>19</v>
      </c>
      <c r="F129" s="18" t="n">
        <v>1450</v>
      </c>
      <c r="G129" s="19" t="n">
        <v>0</v>
      </c>
      <c r="H129" s="18" t="n">
        <v>27550</v>
      </c>
      <c r="I129" s="20"/>
    </row>
    <row r="130" customFormat="false" ht="15" hidden="false" customHeight="false" outlineLevel="0" collapsed="false">
      <c r="A130" s="16" t="n">
        <v>45698</v>
      </c>
      <c r="B130" s="17" t="s">
        <v>223</v>
      </c>
      <c r="C130" s="17" t="s">
        <v>73</v>
      </c>
      <c r="D130" s="17" t="s">
        <v>92</v>
      </c>
      <c r="E130" s="17" t="n">
        <v>17</v>
      </c>
      <c r="F130" s="18" t="n">
        <v>1450</v>
      </c>
      <c r="G130" s="19" t="n">
        <v>0</v>
      </c>
      <c r="H130" s="18" t="n">
        <v>24650</v>
      </c>
      <c r="I130" s="20"/>
    </row>
    <row r="131" customFormat="false" ht="15" hidden="false" customHeight="false" outlineLevel="0" collapsed="false">
      <c r="A131" s="16" t="n">
        <v>45698</v>
      </c>
      <c r="B131" s="17" t="s">
        <v>224</v>
      </c>
      <c r="C131" s="17" t="s">
        <v>78</v>
      </c>
      <c r="D131" s="17" t="s">
        <v>96</v>
      </c>
      <c r="E131" s="17" t="n">
        <v>18</v>
      </c>
      <c r="F131" s="18" t="n">
        <v>95</v>
      </c>
      <c r="G131" s="19" t="n">
        <v>0.1</v>
      </c>
      <c r="H131" s="18" t="n">
        <v>1539</v>
      </c>
      <c r="I131" s="20"/>
    </row>
    <row r="132" customFormat="false" ht="15" hidden="false" customHeight="false" outlineLevel="0" collapsed="false">
      <c r="A132" s="16" t="n">
        <v>45698</v>
      </c>
      <c r="B132" s="17" t="s">
        <v>225</v>
      </c>
      <c r="C132" s="17" t="s">
        <v>73</v>
      </c>
      <c r="D132" s="17" t="s">
        <v>102</v>
      </c>
      <c r="E132" s="17" t="n">
        <v>17</v>
      </c>
      <c r="F132" s="18" t="n">
        <v>1450</v>
      </c>
      <c r="G132" s="19" t="n">
        <v>0</v>
      </c>
      <c r="H132" s="18" t="n">
        <v>24650</v>
      </c>
      <c r="I132" s="20"/>
    </row>
    <row r="133" customFormat="false" ht="15" hidden="false" customHeight="false" outlineLevel="0" collapsed="false">
      <c r="A133" s="16" t="n">
        <v>45699</v>
      </c>
      <c r="B133" s="17" t="s">
        <v>226</v>
      </c>
      <c r="C133" s="17" t="s">
        <v>81</v>
      </c>
      <c r="D133" s="17" t="s">
        <v>92</v>
      </c>
      <c r="E133" s="17" t="n">
        <v>9</v>
      </c>
      <c r="F133" s="18" t="n">
        <v>60</v>
      </c>
      <c r="G133" s="19" t="n">
        <v>0</v>
      </c>
      <c r="H133" s="18" t="n">
        <v>540</v>
      </c>
      <c r="I133" s="20"/>
    </row>
    <row r="134" customFormat="false" ht="15" hidden="false" customHeight="false" outlineLevel="0" collapsed="false">
      <c r="A134" s="16" t="n">
        <v>45699</v>
      </c>
      <c r="B134" s="17" t="s">
        <v>227</v>
      </c>
      <c r="C134" s="17" t="s">
        <v>78</v>
      </c>
      <c r="D134" s="17" t="s">
        <v>96</v>
      </c>
      <c r="E134" s="17" t="n">
        <v>4</v>
      </c>
      <c r="F134" s="18" t="n">
        <v>95</v>
      </c>
      <c r="G134" s="19" t="n">
        <v>0</v>
      </c>
      <c r="H134" s="18" t="n">
        <v>380</v>
      </c>
      <c r="I134" s="20"/>
    </row>
    <row r="135" customFormat="false" ht="15" hidden="false" customHeight="false" outlineLevel="0" collapsed="false">
      <c r="A135" s="16" t="n">
        <v>45699</v>
      </c>
      <c r="B135" s="17" t="s">
        <v>228</v>
      </c>
      <c r="C135" s="17" t="s">
        <v>70</v>
      </c>
      <c r="D135" s="17" t="s">
        <v>98</v>
      </c>
      <c r="E135" s="17" t="n">
        <v>16</v>
      </c>
      <c r="F135" s="18" t="n">
        <v>850</v>
      </c>
      <c r="G135" s="19" t="n">
        <v>0.1</v>
      </c>
      <c r="H135" s="18" t="n">
        <v>12240</v>
      </c>
      <c r="I135" s="20"/>
    </row>
    <row r="136" customFormat="false" ht="15" hidden="false" customHeight="false" outlineLevel="0" collapsed="false">
      <c r="A136" s="16" t="n">
        <v>45699</v>
      </c>
      <c r="B136" s="17" t="s">
        <v>229</v>
      </c>
      <c r="C136" s="17" t="s">
        <v>70</v>
      </c>
      <c r="D136" s="17" t="s">
        <v>98</v>
      </c>
      <c r="E136" s="17" t="n">
        <v>6</v>
      </c>
      <c r="F136" s="18" t="n">
        <v>850</v>
      </c>
      <c r="G136" s="19" t="n">
        <v>0.1</v>
      </c>
      <c r="H136" s="18" t="n">
        <v>4590</v>
      </c>
      <c r="I136" s="20"/>
    </row>
    <row r="137" customFormat="false" ht="15" hidden="false" customHeight="false" outlineLevel="0" collapsed="false">
      <c r="A137" s="16" t="n">
        <v>45699</v>
      </c>
      <c r="B137" s="17" t="s">
        <v>230</v>
      </c>
      <c r="C137" s="17" t="s">
        <v>73</v>
      </c>
      <c r="D137" s="17" t="s">
        <v>96</v>
      </c>
      <c r="E137" s="17" t="n">
        <v>1</v>
      </c>
      <c r="F137" s="18" t="n">
        <v>1450</v>
      </c>
      <c r="G137" s="19" t="n">
        <v>0</v>
      </c>
      <c r="H137" s="18" t="n">
        <v>1450</v>
      </c>
      <c r="I137" s="20"/>
    </row>
    <row r="138" customFormat="false" ht="15" hidden="false" customHeight="false" outlineLevel="0" collapsed="false">
      <c r="A138" s="16" t="n">
        <v>45700</v>
      </c>
      <c r="B138" s="17" t="s">
        <v>231</v>
      </c>
      <c r="C138" s="17" t="s">
        <v>81</v>
      </c>
      <c r="D138" s="17" t="s">
        <v>98</v>
      </c>
      <c r="E138" s="17" t="n">
        <v>6</v>
      </c>
      <c r="F138" s="18" t="n">
        <v>60</v>
      </c>
      <c r="G138" s="19" t="n">
        <v>0</v>
      </c>
      <c r="H138" s="18" t="n">
        <v>360</v>
      </c>
      <c r="I138" s="20"/>
    </row>
    <row r="139" customFormat="false" ht="15" hidden="false" customHeight="false" outlineLevel="0" collapsed="false">
      <c r="A139" s="16" t="n">
        <v>45701</v>
      </c>
      <c r="B139" s="17" t="s">
        <v>232</v>
      </c>
      <c r="C139" s="17" t="s">
        <v>78</v>
      </c>
      <c r="D139" s="17" t="s">
        <v>98</v>
      </c>
      <c r="E139" s="17" t="n">
        <v>18</v>
      </c>
      <c r="F139" s="18" t="n">
        <v>95</v>
      </c>
      <c r="G139" s="19" t="n">
        <v>0.1</v>
      </c>
      <c r="H139" s="18" t="n">
        <v>1539</v>
      </c>
      <c r="I139" s="20"/>
    </row>
    <row r="140" customFormat="false" ht="15" hidden="false" customHeight="false" outlineLevel="0" collapsed="false">
      <c r="A140" s="16" t="n">
        <v>45701</v>
      </c>
      <c r="B140" s="17" t="s">
        <v>233</v>
      </c>
      <c r="C140" s="17" t="s">
        <v>73</v>
      </c>
      <c r="D140" s="17" t="s">
        <v>96</v>
      </c>
      <c r="E140" s="17" t="n">
        <v>1</v>
      </c>
      <c r="F140" s="18" t="n">
        <v>1450</v>
      </c>
      <c r="G140" s="19" t="n">
        <v>0.1</v>
      </c>
      <c r="H140" s="18" t="n">
        <v>1305</v>
      </c>
      <c r="I140" s="20"/>
    </row>
    <row r="141" customFormat="false" ht="15" hidden="false" customHeight="false" outlineLevel="0" collapsed="false">
      <c r="A141" s="16" t="n">
        <v>45701</v>
      </c>
      <c r="B141" s="17" t="s">
        <v>234</v>
      </c>
      <c r="C141" s="17" t="s">
        <v>75</v>
      </c>
      <c r="D141" s="17" t="s">
        <v>96</v>
      </c>
      <c r="E141" s="17" t="n">
        <v>6</v>
      </c>
      <c r="F141" s="18" t="n">
        <v>120</v>
      </c>
      <c r="G141" s="19" t="n">
        <v>0</v>
      </c>
      <c r="H141" s="18" t="n">
        <v>720</v>
      </c>
      <c r="I141" s="20"/>
    </row>
    <row r="142" customFormat="false" ht="15" hidden="false" customHeight="false" outlineLevel="0" collapsed="false">
      <c r="A142" s="16" t="n">
        <v>45701</v>
      </c>
      <c r="B142" s="17" t="s">
        <v>235</v>
      </c>
      <c r="C142" s="17" t="s">
        <v>70</v>
      </c>
      <c r="D142" s="17" t="s">
        <v>96</v>
      </c>
      <c r="E142" s="17" t="n">
        <v>18</v>
      </c>
      <c r="F142" s="18" t="n">
        <v>850</v>
      </c>
      <c r="G142" s="19" t="n">
        <v>0</v>
      </c>
      <c r="H142" s="18" t="n">
        <v>15300</v>
      </c>
      <c r="I142" s="20"/>
    </row>
    <row r="143" customFormat="false" ht="15" hidden="false" customHeight="false" outlineLevel="0" collapsed="false">
      <c r="A143" s="16" t="n">
        <v>45701</v>
      </c>
      <c r="B143" s="17" t="s">
        <v>236</v>
      </c>
      <c r="C143" s="17" t="s">
        <v>70</v>
      </c>
      <c r="D143" s="17" t="s">
        <v>96</v>
      </c>
      <c r="E143" s="17" t="n">
        <v>16</v>
      </c>
      <c r="F143" s="18" t="n">
        <v>850</v>
      </c>
      <c r="G143" s="19" t="n">
        <v>0.1</v>
      </c>
      <c r="H143" s="18" t="n">
        <v>12240</v>
      </c>
      <c r="I143" s="20"/>
    </row>
    <row r="144" customFormat="false" ht="15" hidden="false" customHeight="false" outlineLevel="0" collapsed="false">
      <c r="A144" s="16" t="n">
        <v>45701</v>
      </c>
      <c r="B144" s="17" t="s">
        <v>237</v>
      </c>
      <c r="C144" s="17" t="s">
        <v>70</v>
      </c>
      <c r="D144" s="17" t="s">
        <v>98</v>
      </c>
      <c r="E144" s="17" t="n">
        <v>17</v>
      </c>
      <c r="F144" s="18" t="n">
        <v>850</v>
      </c>
      <c r="G144" s="19" t="n">
        <v>0.05</v>
      </c>
      <c r="H144" s="18" t="n">
        <v>13727.5</v>
      </c>
      <c r="I144" s="20"/>
    </row>
    <row r="145" customFormat="false" ht="15" hidden="false" customHeight="false" outlineLevel="0" collapsed="false">
      <c r="A145" s="16" t="n">
        <v>45702</v>
      </c>
      <c r="B145" s="17" t="s">
        <v>238</v>
      </c>
      <c r="C145" s="17" t="s">
        <v>75</v>
      </c>
      <c r="D145" s="17" t="s">
        <v>92</v>
      </c>
      <c r="E145" s="17" t="n">
        <v>18</v>
      </c>
      <c r="F145" s="18" t="n">
        <v>120</v>
      </c>
      <c r="G145" s="19" t="n">
        <v>0</v>
      </c>
      <c r="H145" s="18" t="n">
        <v>2160</v>
      </c>
      <c r="I145" s="20"/>
    </row>
    <row r="146" customFormat="false" ht="15" hidden="false" customHeight="false" outlineLevel="0" collapsed="false">
      <c r="A146" s="16" t="n">
        <v>45702</v>
      </c>
      <c r="B146" s="17" t="s">
        <v>239</v>
      </c>
      <c r="C146" s="17" t="s">
        <v>75</v>
      </c>
      <c r="D146" s="17" t="s">
        <v>102</v>
      </c>
      <c r="E146" s="17" t="n">
        <v>11</v>
      </c>
      <c r="F146" s="18" t="n">
        <v>120</v>
      </c>
      <c r="G146" s="19" t="n">
        <v>0</v>
      </c>
      <c r="H146" s="18" t="n">
        <v>1320</v>
      </c>
      <c r="I146" s="20"/>
    </row>
    <row r="147" customFormat="false" ht="15" hidden="false" customHeight="false" outlineLevel="0" collapsed="false">
      <c r="A147" s="16" t="n">
        <v>45702</v>
      </c>
      <c r="B147" s="17" t="s">
        <v>240</v>
      </c>
      <c r="C147" s="17" t="s">
        <v>75</v>
      </c>
      <c r="D147" s="17" t="s">
        <v>96</v>
      </c>
      <c r="E147" s="17" t="n">
        <v>11</v>
      </c>
      <c r="F147" s="18" t="n">
        <v>120</v>
      </c>
      <c r="G147" s="19" t="n">
        <v>0</v>
      </c>
      <c r="H147" s="18" t="n">
        <v>1320</v>
      </c>
      <c r="I147" s="20"/>
    </row>
    <row r="148" customFormat="false" ht="15" hidden="false" customHeight="false" outlineLevel="0" collapsed="false">
      <c r="A148" s="16" t="n">
        <v>45703</v>
      </c>
      <c r="B148" s="17" t="s">
        <v>241</v>
      </c>
      <c r="C148" s="17" t="s">
        <v>73</v>
      </c>
      <c r="D148" s="17" t="s">
        <v>98</v>
      </c>
      <c r="E148" s="17" t="n">
        <v>7</v>
      </c>
      <c r="F148" s="18" t="n">
        <v>1450</v>
      </c>
      <c r="G148" s="19" t="n">
        <v>0.05</v>
      </c>
      <c r="H148" s="18" t="n">
        <v>9642.5</v>
      </c>
      <c r="I148" s="20"/>
    </row>
    <row r="149" customFormat="false" ht="15" hidden="false" customHeight="false" outlineLevel="0" collapsed="false">
      <c r="A149" s="16" t="n">
        <v>45703</v>
      </c>
      <c r="B149" s="17" t="s">
        <v>242</v>
      </c>
      <c r="C149" s="17" t="s">
        <v>78</v>
      </c>
      <c r="D149" s="17" t="s">
        <v>98</v>
      </c>
      <c r="E149" s="17" t="n">
        <v>5</v>
      </c>
      <c r="F149" s="18" t="n">
        <v>95</v>
      </c>
      <c r="G149" s="19" t="n">
        <v>0</v>
      </c>
      <c r="H149" s="18" t="n">
        <v>475</v>
      </c>
      <c r="I149" s="20"/>
    </row>
    <row r="150" customFormat="false" ht="15" hidden="false" customHeight="false" outlineLevel="0" collapsed="false">
      <c r="A150" s="16" t="n">
        <v>45703</v>
      </c>
      <c r="B150" s="17" t="s">
        <v>243</v>
      </c>
      <c r="C150" s="17" t="s">
        <v>78</v>
      </c>
      <c r="D150" s="17" t="s">
        <v>92</v>
      </c>
      <c r="E150" s="17" t="n">
        <v>20</v>
      </c>
      <c r="F150" s="18" t="n">
        <v>95</v>
      </c>
      <c r="G150" s="19" t="n">
        <v>0.1</v>
      </c>
      <c r="H150" s="18" t="n">
        <v>1710</v>
      </c>
      <c r="I150" s="20"/>
    </row>
    <row r="151" customFormat="false" ht="15" hidden="false" customHeight="false" outlineLevel="0" collapsed="false">
      <c r="A151" s="16" t="n">
        <v>45703</v>
      </c>
      <c r="B151" s="17" t="s">
        <v>244</v>
      </c>
      <c r="C151" s="17" t="s">
        <v>78</v>
      </c>
      <c r="D151" s="17" t="s">
        <v>92</v>
      </c>
      <c r="E151" s="17" t="n">
        <v>12</v>
      </c>
      <c r="F151" s="18" t="n">
        <v>95</v>
      </c>
      <c r="G151" s="19" t="n">
        <v>0.1</v>
      </c>
      <c r="H151" s="18" t="n">
        <v>1026</v>
      </c>
      <c r="I151" s="20"/>
    </row>
    <row r="152" customFormat="false" ht="15" hidden="false" customHeight="false" outlineLevel="0" collapsed="false">
      <c r="A152" s="16" t="n">
        <v>45703</v>
      </c>
      <c r="B152" s="17" t="s">
        <v>245</v>
      </c>
      <c r="C152" s="17" t="s">
        <v>81</v>
      </c>
      <c r="D152" s="17" t="s">
        <v>96</v>
      </c>
      <c r="E152" s="17" t="n">
        <v>2</v>
      </c>
      <c r="F152" s="18" t="n">
        <v>60</v>
      </c>
      <c r="G152" s="19" t="n">
        <v>0</v>
      </c>
      <c r="H152" s="18" t="n">
        <v>120</v>
      </c>
      <c r="I152" s="20"/>
    </row>
    <row r="153" customFormat="false" ht="15" hidden="false" customHeight="false" outlineLevel="0" collapsed="false">
      <c r="A153" s="16" t="n">
        <v>45704</v>
      </c>
      <c r="B153" s="17" t="s">
        <v>246</v>
      </c>
      <c r="C153" s="17" t="s">
        <v>78</v>
      </c>
      <c r="D153" s="17" t="s">
        <v>98</v>
      </c>
      <c r="E153" s="17" t="n">
        <v>4</v>
      </c>
      <c r="F153" s="18" t="n">
        <v>95</v>
      </c>
      <c r="G153" s="19" t="n">
        <v>0.1</v>
      </c>
      <c r="H153" s="18" t="n">
        <v>342</v>
      </c>
      <c r="I153" s="20"/>
    </row>
    <row r="154" customFormat="false" ht="15" hidden="false" customHeight="false" outlineLevel="0" collapsed="false">
      <c r="A154" s="16" t="n">
        <v>45704</v>
      </c>
      <c r="B154" s="17" t="s">
        <v>247</v>
      </c>
      <c r="C154" s="17" t="s">
        <v>81</v>
      </c>
      <c r="D154" s="17" t="s">
        <v>102</v>
      </c>
      <c r="E154" s="17" t="n">
        <v>3</v>
      </c>
      <c r="F154" s="18" t="n">
        <v>60</v>
      </c>
      <c r="G154" s="19" t="n">
        <v>0.1</v>
      </c>
      <c r="H154" s="18" t="n">
        <v>162</v>
      </c>
      <c r="I154" s="20"/>
    </row>
    <row r="155" customFormat="false" ht="15" hidden="false" customHeight="false" outlineLevel="0" collapsed="false">
      <c r="A155" s="16" t="n">
        <v>45704</v>
      </c>
      <c r="B155" s="17" t="s">
        <v>248</v>
      </c>
      <c r="C155" s="17" t="s">
        <v>75</v>
      </c>
      <c r="D155" s="17" t="s">
        <v>98</v>
      </c>
      <c r="E155" s="17" t="n">
        <v>11</v>
      </c>
      <c r="F155" s="18" t="n">
        <v>120</v>
      </c>
      <c r="G155" s="19" t="n">
        <v>0</v>
      </c>
      <c r="H155" s="18" t="n">
        <v>1320</v>
      </c>
      <c r="I155" s="20"/>
    </row>
    <row r="156" customFormat="false" ht="15" hidden="false" customHeight="false" outlineLevel="0" collapsed="false">
      <c r="A156" s="16" t="n">
        <v>45704</v>
      </c>
      <c r="B156" s="17" t="s">
        <v>249</v>
      </c>
      <c r="C156" s="17" t="s">
        <v>73</v>
      </c>
      <c r="D156" s="17" t="s">
        <v>96</v>
      </c>
      <c r="E156" s="17" t="n">
        <v>20</v>
      </c>
      <c r="F156" s="18" t="n">
        <v>1450</v>
      </c>
      <c r="G156" s="19" t="n">
        <v>0</v>
      </c>
      <c r="H156" s="18" t="n">
        <v>29000</v>
      </c>
      <c r="I156" s="20"/>
    </row>
    <row r="157" customFormat="false" ht="15" hidden="false" customHeight="false" outlineLevel="0" collapsed="false">
      <c r="A157" s="16" t="n">
        <v>45704</v>
      </c>
      <c r="B157" s="17" t="s">
        <v>250</v>
      </c>
      <c r="C157" s="17" t="s">
        <v>81</v>
      </c>
      <c r="D157" s="17" t="s">
        <v>98</v>
      </c>
      <c r="E157" s="17" t="n">
        <v>1</v>
      </c>
      <c r="F157" s="18" t="n">
        <v>60</v>
      </c>
      <c r="G157" s="19" t="n">
        <v>0.05</v>
      </c>
      <c r="H157" s="18" t="n">
        <v>57</v>
      </c>
      <c r="I157" s="20"/>
    </row>
    <row r="158" customFormat="false" ht="15" hidden="false" customHeight="false" outlineLevel="0" collapsed="false">
      <c r="A158" s="16" t="n">
        <v>45704</v>
      </c>
      <c r="B158" s="17" t="s">
        <v>251</v>
      </c>
      <c r="C158" s="17" t="s">
        <v>75</v>
      </c>
      <c r="D158" s="17" t="s">
        <v>98</v>
      </c>
      <c r="E158" s="17" t="n">
        <v>3</v>
      </c>
      <c r="F158" s="18" t="n">
        <v>120</v>
      </c>
      <c r="G158" s="19" t="n">
        <v>0.1</v>
      </c>
      <c r="H158" s="18" t="n">
        <v>324</v>
      </c>
      <c r="I158" s="20"/>
    </row>
    <row r="159" customFormat="false" ht="15" hidden="false" customHeight="false" outlineLevel="0" collapsed="false">
      <c r="A159" s="16" t="n">
        <v>45705</v>
      </c>
      <c r="B159" s="17" t="s">
        <v>252</v>
      </c>
      <c r="C159" s="17" t="s">
        <v>70</v>
      </c>
      <c r="D159" s="17" t="s">
        <v>96</v>
      </c>
      <c r="E159" s="17" t="n">
        <v>3</v>
      </c>
      <c r="F159" s="18" t="n">
        <v>850</v>
      </c>
      <c r="G159" s="19" t="n">
        <v>0</v>
      </c>
      <c r="H159" s="18" t="n">
        <v>2550</v>
      </c>
      <c r="I159" s="20"/>
    </row>
    <row r="160" customFormat="false" ht="15" hidden="false" customHeight="false" outlineLevel="0" collapsed="false">
      <c r="A160" s="16" t="n">
        <v>45705</v>
      </c>
      <c r="B160" s="17" t="s">
        <v>253</v>
      </c>
      <c r="C160" s="17" t="s">
        <v>81</v>
      </c>
      <c r="D160" s="17" t="s">
        <v>96</v>
      </c>
      <c r="E160" s="17" t="n">
        <v>11</v>
      </c>
      <c r="F160" s="18" t="n">
        <v>60</v>
      </c>
      <c r="G160" s="19" t="n">
        <v>0</v>
      </c>
      <c r="H160" s="18" t="n">
        <v>660</v>
      </c>
      <c r="I160" s="20"/>
    </row>
    <row r="161" customFormat="false" ht="15" hidden="false" customHeight="false" outlineLevel="0" collapsed="false">
      <c r="A161" s="16" t="n">
        <v>45705</v>
      </c>
      <c r="B161" s="17" t="s">
        <v>254</v>
      </c>
      <c r="C161" s="17" t="s">
        <v>73</v>
      </c>
      <c r="D161" s="17" t="s">
        <v>98</v>
      </c>
      <c r="E161" s="17" t="n">
        <v>9</v>
      </c>
      <c r="F161" s="18" t="n">
        <v>1450</v>
      </c>
      <c r="G161" s="19" t="n">
        <v>0.05</v>
      </c>
      <c r="H161" s="18" t="n">
        <v>12397.5</v>
      </c>
      <c r="I161" s="20"/>
    </row>
    <row r="162" customFormat="false" ht="15" hidden="false" customHeight="false" outlineLevel="0" collapsed="false">
      <c r="A162" s="16" t="n">
        <v>45705</v>
      </c>
      <c r="B162" s="17" t="s">
        <v>255</v>
      </c>
      <c r="C162" s="17" t="s">
        <v>75</v>
      </c>
      <c r="D162" s="17" t="s">
        <v>102</v>
      </c>
      <c r="E162" s="17" t="n">
        <v>12</v>
      </c>
      <c r="F162" s="18" t="n">
        <v>120</v>
      </c>
      <c r="G162" s="19" t="n">
        <v>0</v>
      </c>
      <c r="H162" s="18" t="n">
        <v>1440</v>
      </c>
      <c r="I162" s="20"/>
    </row>
    <row r="163" customFormat="false" ht="15" hidden="false" customHeight="false" outlineLevel="0" collapsed="false">
      <c r="A163" s="16" t="n">
        <v>45706</v>
      </c>
      <c r="B163" s="17" t="s">
        <v>256</v>
      </c>
      <c r="C163" s="17" t="s">
        <v>75</v>
      </c>
      <c r="D163" s="17" t="s">
        <v>92</v>
      </c>
      <c r="E163" s="17" t="n">
        <v>5</v>
      </c>
      <c r="F163" s="18" t="n">
        <v>120</v>
      </c>
      <c r="G163" s="19" t="n">
        <v>0</v>
      </c>
      <c r="H163" s="18" t="n">
        <v>600</v>
      </c>
      <c r="I163" s="20"/>
    </row>
    <row r="164" customFormat="false" ht="15" hidden="false" customHeight="false" outlineLevel="0" collapsed="false">
      <c r="A164" s="16" t="n">
        <v>45706</v>
      </c>
      <c r="B164" s="17" t="s">
        <v>257</v>
      </c>
      <c r="C164" s="17" t="s">
        <v>73</v>
      </c>
      <c r="D164" s="17" t="s">
        <v>92</v>
      </c>
      <c r="E164" s="17" t="n">
        <v>19</v>
      </c>
      <c r="F164" s="18" t="n">
        <v>1450</v>
      </c>
      <c r="G164" s="19" t="n">
        <v>0</v>
      </c>
      <c r="H164" s="18" t="n">
        <v>27550</v>
      </c>
      <c r="I164" s="20"/>
    </row>
    <row r="165" customFormat="false" ht="15" hidden="false" customHeight="false" outlineLevel="0" collapsed="false">
      <c r="A165" s="16" t="n">
        <v>45706</v>
      </c>
      <c r="B165" s="17" t="s">
        <v>258</v>
      </c>
      <c r="C165" s="17" t="s">
        <v>70</v>
      </c>
      <c r="D165" s="17" t="s">
        <v>102</v>
      </c>
      <c r="E165" s="17" t="n">
        <v>4</v>
      </c>
      <c r="F165" s="18" t="n">
        <v>850</v>
      </c>
      <c r="G165" s="19" t="n">
        <v>0</v>
      </c>
      <c r="H165" s="18" t="n">
        <v>3400</v>
      </c>
      <c r="I165" s="20"/>
    </row>
    <row r="166" customFormat="false" ht="15" hidden="false" customHeight="false" outlineLevel="0" collapsed="false">
      <c r="A166" s="16" t="n">
        <v>45706</v>
      </c>
      <c r="B166" s="17" t="s">
        <v>259</v>
      </c>
      <c r="C166" s="17" t="s">
        <v>75</v>
      </c>
      <c r="D166" s="17" t="s">
        <v>98</v>
      </c>
      <c r="E166" s="17" t="n">
        <v>12</v>
      </c>
      <c r="F166" s="18" t="n">
        <v>120</v>
      </c>
      <c r="G166" s="19" t="n">
        <v>0.05</v>
      </c>
      <c r="H166" s="18" t="n">
        <v>1368</v>
      </c>
      <c r="I166" s="20"/>
    </row>
    <row r="167" customFormat="false" ht="15" hidden="false" customHeight="false" outlineLevel="0" collapsed="false">
      <c r="A167" s="16" t="n">
        <v>45706</v>
      </c>
      <c r="B167" s="17" t="s">
        <v>260</v>
      </c>
      <c r="C167" s="17" t="s">
        <v>75</v>
      </c>
      <c r="D167" s="17" t="s">
        <v>98</v>
      </c>
      <c r="E167" s="17" t="n">
        <v>5</v>
      </c>
      <c r="F167" s="18" t="n">
        <v>120</v>
      </c>
      <c r="G167" s="19" t="n">
        <v>0.05</v>
      </c>
      <c r="H167" s="18" t="n">
        <v>570</v>
      </c>
      <c r="I167" s="20"/>
    </row>
    <row r="168" customFormat="false" ht="15" hidden="false" customHeight="false" outlineLevel="0" collapsed="false">
      <c r="A168" s="16" t="n">
        <v>45706</v>
      </c>
      <c r="B168" s="17" t="s">
        <v>261</v>
      </c>
      <c r="C168" s="17" t="s">
        <v>73</v>
      </c>
      <c r="D168" s="17" t="s">
        <v>102</v>
      </c>
      <c r="E168" s="17" t="n">
        <v>9</v>
      </c>
      <c r="F168" s="18" t="n">
        <v>1450</v>
      </c>
      <c r="G168" s="19" t="n">
        <v>0</v>
      </c>
      <c r="H168" s="18" t="n">
        <v>13050</v>
      </c>
      <c r="I168" s="20"/>
    </row>
    <row r="169" customFormat="false" ht="15" hidden="false" customHeight="false" outlineLevel="0" collapsed="false">
      <c r="A169" s="16" t="n">
        <v>45706</v>
      </c>
      <c r="B169" s="17" t="s">
        <v>262</v>
      </c>
      <c r="C169" s="17" t="s">
        <v>73</v>
      </c>
      <c r="D169" s="17" t="s">
        <v>92</v>
      </c>
      <c r="E169" s="17" t="n">
        <v>15</v>
      </c>
      <c r="F169" s="18" t="n">
        <v>1450</v>
      </c>
      <c r="G169" s="19" t="n">
        <v>0.05</v>
      </c>
      <c r="H169" s="18" t="n">
        <v>20662.5</v>
      </c>
      <c r="I169" s="20"/>
    </row>
    <row r="170" customFormat="false" ht="15" hidden="false" customHeight="false" outlineLevel="0" collapsed="false">
      <c r="A170" s="16" t="n">
        <v>45706</v>
      </c>
      <c r="B170" s="17" t="s">
        <v>263</v>
      </c>
      <c r="C170" s="17" t="s">
        <v>81</v>
      </c>
      <c r="D170" s="17" t="s">
        <v>98</v>
      </c>
      <c r="E170" s="17" t="n">
        <v>19</v>
      </c>
      <c r="F170" s="18" t="n">
        <v>60</v>
      </c>
      <c r="G170" s="19" t="n">
        <v>0.1</v>
      </c>
      <c r="H170" s="18" t="n">
        <v>1026</v>
      </c>
      <c r="I170" s="20"/>
    </row>
    <row r="171" customFormat="false" ht="15" hidden="false" customHeight="false" outlineLevel="0" collapsed="false">
      <c r="A171" s="16" t="n">
        <v>45707</v>
      </c>
      <c r="B171" s="17" t="s">
        <v>264</v>
      </c>
      <c r="C171" s="17" t="s">
        <v>70</v>
      </c>
      <c r="D171" s="17" t="s">
        <v>96</v>
      </c>
      <c r="E171" s="17" t="n">
        <v>3</v>
      </c>
      <c r="F171" s="18" t="n">
        <v>850</v>
      </c>
      <c r="G171" s="19" t="n">
        <v>0.1</v>
      </c>
      <c r="H171" s="18" t="n">
        <v>2295</v>
      </c>
      <c r="I171" s="20"/>
    </row>
    <row r="172" customFormat="false" ht="15" hidden="false" customHeight="false" outlineLevel="0" collapsed="false">
      <c r="A172" s="16" t="n">
        <v>45707</v>
      </c>
      <c r="B172" s="17" t="s">
        <v>265</v>
      </c>
      <c r="C172" s="17" t="s">
        <v>70</v>
      </c>
      <c r="D172" s="17" t="s">
        <v>96</v>
      </c>
      <c r="E172" s="17" t="n">
        <v>13</v>
      </c>
      <c r="F172" s="18" t="n">
        <v>850</v>
      </c>
      <c r="G172" s="19" t="n">
        <v>0.1</v>
      </c>
      <c r="H172" s="18" t="n">
        <v>9945</v>
      </c>
      <c r="I172" s="20"/>
    </row>
    <row r="173" customFormat="false" ht="15" hidden="false" customHeight="false" outlineLevel="0" collapsed="false">
      <c r="A173" s="16" t="n">
        <v>45707</v>
      </c>
      <c r="B173" s="17" t="s">
        <v>266</v>
      </c>
      <c r="C173" s="17" t="s">
        <v>75</v>
      </c>
      <c r="D173" s="17" t="s">
        <v>92</v>
      </c>
      <c r="E173" s="17" t="n">
        <v>7</v>
      </c>
      <c r="F173" s="18" t="n">
        <v>120</v>
      </c>
      <c r="G173" s="19" t="n">
        <v>0.1</v>
      </c>
      <c r="H173" s="18" t="n">
        <v>756</v>
      </c>
      <c r="I173" s="20"/>
    </row>
    <row r="174" customFormat="false" ht="15" hidden="false" customHeight="false" outlineLevel="0" collapsed="false">
      <c r="A174" s="16" t="n">
        <v>45708</v>
      </c>
      <c r="B174" s="17" t="s">
        <v>267</v>
      </c>
      <c r="C174" s="17" t="s">
        <v>81</v>
      </c>
      <c r="D174" s="17" t="s">
        <v>92</v>
      </c>
      <c r="E174" s="17" t="n">
        <v>8</v>
      </c>
      <c r="F174" s="18" t="n">
        <v>60</v>
      </c>
      <c r="G174" s="19" t="n">
        <v>0</v>
      </c>
      <c r="H174" s="18" t="n">
        <v>480</v>
      </c>
      <c r="I174" s="20"/>
    </row>
    <row r="175" customFormat="false" ht="15" hidden="false" customHeight="false" outlineLevel="0" collapsed="false">
      <c r="A175" s="16" t="n">
        <v>45708</v>
      </c>
      <c r="B175" s="17" t="s">
        <v>268</v>
      </c>
      <c r="C175" s="17" t="s">
        <v>75</v>
      </c>
      <c r="D175" s="17" t="s">
        <v>98</v>
      </c>
      <c r="E175" s="17" t="n">
        <v>3</v>
      </c>
      <c r="F175" s="18" t="n">
        <v>120</v>
      </c>
      <c r="G175" s="19" t="n">
        <v>0.1</v>
      </c>
      <c r="H175" s="18" t="n">
        <v>324</v>
      </c>
      <c r="I175" s="20"/>
    </row>
    <row r="176" customFormat="false" ht="15" hidden="false" customHeight="false" outlineLevel="0" collapsed="false">
      <c r="A176" s="16" t="n">
        <v>45708</v>
      </c>
      <c r="B176" s="17" t="s">
        <v>269</v>
      </c>
      <c r="C176" s="17" t="s">
        <v>78</v>
      </c>
      <c r="D176" s="17" t="s">
        <v>102</v>
      </c>
      <c r="E176" s="17" t="n">
        <v>9</v>
      </c>
      <c r="F176" s="18" t="n">
        <v>95</v>
      </c>
      <c r="G176" s="19" t="n">
        <v>0.05</v>
      </c>
      <c r="H176" s="18" t="n">
        <v>812.25</v>
      </c>
      <c r="I176" s="20"/>
    </row>
    <row r="177" customFormat="false" ht="15" hidden="false" customHeight="false" outlineLevel="0" collapsed="false">
      <c r="A177" s="16" t="n">
        <v>45708</v>
      </c>
      <c r="B177" s="17" t="s">
        <v>270</v>
      </c>
      <c r="C177" s="17" t="s">
        <v>78</v>
      </c>
      <c r="D177" s="17" t="s">
        <v>98</v>
      </c>
      <c r="E177" s="17" t="n">
        <v>18</v>
      </c>
      <c r="F177" s="18" t="n">
        <v>95</v>
      </c>
      <c r="G177" s="19" t="n">
        <v>0</v>
      </c>
      <c r="H177" s="18" t="n">
        <v>1710</v>
      </c>
      <c r="I177" s="20"/>
    </row>
    <row r="178" customFormat="false" ht="15" hidden="false" customHeight="false" outlineLevel="0" collapsed="false">
      <c r="A178" s="16" t="n">
        <v>45708</v>
      </c>
      <c r="B178" s="17" t="s">
        <v>271</v>
      </c>
      <c r="C178" s="17" t="s">
        <v>81</v>
      </c>
      <c r="D178" s="17" t="s">
        <v>92</v>
      </c>
      <c r="E178" s="17" t="n">
        <v>6</v>
      </c>
      <c r="F178" s="18" t="n">
        <v>60</v>
      </c>
      <c r="G178" s="19" t="n">
        <v>0.1</v>
      </c>
      <c r="H178" s="18" t="n">
        <v>324</v>
      </c>
      <c r="I178" s="20"/>
    </row>
    <row r="179" customFormat="false" ht="15" hidden="false" customHeight="false" outlineLevel="0" collapsed="false">
      <c r="A179" s="16" t="n">
        <v>45709</v>
      </c>
      <c r="B179" s="17" t="s">
        <v>272</v>
      </c>
      <c r="C179" s="17" t="s">
        <v>73</v>
      </c>
      <c r="D179" s="17" t="s">
        <v>102</v>
      </c>
      <c r="E179" s="17" t="n">
        <v>3</v>
      </c>
      <c r="F179" s="18" t="n">
        <v>1450</v>
      </c>
      <c r="G179" s="19" t="n">
        <v>0</v>
      </c>
      <c r="H179" s="18" t="n">
        <v>4350</v>
      </c>
      <c r="I179" s="20"/>
    </row>
    <row r="180" customFormat="false" ht="15" hidden="false" customHeight="false" outlineLevel="0" collapsed="false">
      <c r="A180" s="16" t="n">
        <v>45709</v>
      </c>
      <c r="B180" s="17" t="s">
        <v>273</v>
      </c>
      <c r="C180" s="17" t="s">
        <v>70</v>
      </c>
      <c r="D180" s="17" t="s">
        <v>92</v>
      </c>
      <c r="E180" s="17" t="n">
        <v>20</v>
      </c>
      <c r="F180" s="18" t="n">
        <v>850</v>
      </c>
      <c r="G180" s="19" t="n">
        <v>0</v>
      </c>
      <c r="H180" s="18" t="n">
        <v>17000</v>
      </c>
      <c r="I180" s="20"/>
    </row>
    <row r="181" customFormat="false" ht="15" hidden="false" customHeight="false" outlineLevel="0" collapsed="false">
      <c r="A181" s="16" t="n">
        <v>45709</v>
      </c>
      <c r="B181" s="17" t="s">
        <v>274</v>
      </c>
      <c r="C181" s="17" t="s">
        <v>81</v>
      </c>
      <c r="D181" s="17" t="s">
        <v>92</v>
      </c>
      <c r="E181" s="17" t="n">
        <v>16</v>
      </c>
      <c r="F181" s="18" t="n">
        <v>60</v>
      </c>
      <c r="G181" s="19" t="n">
        <v>0.1</v>
      </c>
      <c r="H181" s="18" t="n">
        <v>864</v>
      </c>
      <c r="I181" s="20"/>
    </row>
    <row r="182" customFormat="false" ht="15" hidden="false" customHeight="false" outlineLevel="0" collapsed="false">
      <c r="A182" s="16" t="n">
        <v>45710</v>
      </c>
      <c r="B182" s="17" t="s">
        <v>275</v>
      </c>
      <c r="C182" s="17" t="s">
        <v>75</v>
      </c>
      <c r="D182" s="17" t="s">
        <v>102</v>
      </c>
      <c r="E182" s="17" t="n">
        <v>11</v>
      </c>
      <c r="F182" s="18" t="n">
        <v>120</v>
      </c>
      <c r="G182" s="19" t="n">
        <v>0</v>
      </c>
      <c r="H182" s="18" t="n">
        <v>1320</v>
      </c>
      <c r="I182" s="20"/>
    </row>
    <row r="183" customFormat="false" ht="15" hidden="false" customHeight="false" outlineLevel="0" collapsed="false">
      <c r="A183" s="16" t="n">
        <v>45711</v>
      </c>
      <c r="B183" s="17" t="s">
        <v>276</v>
      </c>
      <c r="C183" s="17" t="s">
        <v>75</v>
      </c>
      <c r="D183" s="17" t="s">
        <v>96</v>
      </c>
      <c r="E183" s="17" t="n">
        <v>3</v>
      </c>
      <c r="F183" s="18" t="n">
        <v>120</v>
      </c>
      <c r="G183" s="19" t="n">
        <v>0.1</v>
      </c>
      <c r="H183" s="18" t="n">
        <v>324</v>
      </c>
      <c r="I183" s="20"/>
    </row>
    <row r="184" customFormat="false" ht="15" hidden="false" customHeight="false" outlineLevel="0" collapsed="false">
      <c r="A184" s="16" t="n">
        <v>45711</v>
      </c>
      <c r="B184" s="17" t="s">
        <v>277</v>
      </c>
      <c r="C184" s="17" t="s">
        <v>81</v>
      </c>
      <c r="D184" s="17" t="s">
        <v>98</v>
      </c>
      <c r="E184" s="17" t="n">
        <v>19</v>
      </c>
      <c r="F184" s="18" t="n">
        <v>60</v>
      </c>
      <c r="G184" s="19" t="n">
        <v>0.1</v>
      </c>
      <c r="H184" s="18" t="n">
        <v>1026</v>
      </c>
      <c r="I184" s="20"/>
    </row>
    <row r="185" customFormat="false" ht="15" hidden="false" customHeight="false" outlineLevel="0" collapsed="false">
      <c r="A185" s="16" t="n">
        <v>45711</v>
      </c>
      <c r="B185" s="17" t="s">
        <v>278</v>
      </c>
      <c r="C185" s="17" t="s">
        <v>81</v>
      </c>
      <c r="D185" s="17" t="s">
        <v>92</v>
      </c>
      <c r="E185" s="17" t="n">
        <v>2</v>
      </c>
      <c r="F185" s="18" t="n">
        <v>60</v>
      </c>
      <c r="G185" s="19" t="n">
        <v>0.05</v>
      </c>
      <c r="H185" s="18" t="n">
        <v>114</v>
      </c>
      <c r="I185" s="20"/>
    </row>
    <row r="186" customFormat="false" ht="15" hidden="false" customHeight="false" outlineLevel="0" collapsed="false">
      <c r="A186" s="16" t="n">
        <v>45711</v>
      </c>
      <c r="B186" s="17" t="s">
        <v>279</v>
      </c>
      <c r="C186" s="17" t="s">
        <v>81</v>
      </c>
      <c r="D186" s="17" t="s">
        <v>92</v>
      </c>
      <c r="E186" s="17" t="n">
        <v>11</v>
      </c>
      <c r="F186" s="18" t="n">
        <v>60</v>
      </c>
      <c r="G186" s="19" t="n">
        <v>0</v>
      </c>
      <c r="H186" s="18" t="n">
        <v>660</v>
      </c>
      <c r="I186" s="20"/>
    </row>
    <row r="187" customFormat="false" ht="15" hidden="false" customHeight="false" outlineLevel="0" collapsed="false">
      <c r="A187" s="16" t="n">
        <v>45712</v>
      </c>
      <c r="B187" s="17" t="s">
        <v>280</v>
      </c>
      <c r="C187" s="17" t="s">
        <v>81</v>
      </c>
      <c r="D187" s="17" t="s">
        <v>102</v>
      </c>
      <c r="E187" s="17" t="n">
        <v>7</v>
      </c>
      <c r="F187" s="18" t="n">
        <v>60</v>
      </c>
      <c r="G187" s="19" t="n">
        <v>0</v>
      </c>
      <c r="H187" s="18" t="n">
        <v>420</v>
      </c>
      <c r="I187" s="20"/>
    </row>
    <row r="188" customFormat="false" ht="15" hidden="false" customHeight="false" outlineLevel="0" collapsed="false">
      <c r="A188" s="16" t="n">
        <v>45712</v>
      </c>
      <c r="B188" s="17" t="s">
        <v>281</v>
      </c>
      <c r="C188" s="17" t="s">
        <v>73</v>
      </c>
      <c r="D188" s="17" t="s">
        <v>102</v>
      </c>
      <c r="E188" s="17" t="n">
        <v>1</v>
      </c>
      <c r="F188" s="18" t="n">
        <v>1450</v>
      </c>
      <c r="G188" s="19" t="n">
        <v>0</v>
      </c>
      <c r="H188" s="18" t="n">
        <v>1450</v>
      </c>
      <c r="I188" s="20"/>
    </row>
    <row r="189" customFormat="false" ht="15" hidden="false" customHeight="false" outlineLevel="0" collapsed="false">
      <c r="A189" s="16" t="n">
        <v>45712</v>
      </c>
      <c r="B189" s="17" t="s">
        <v>282</v>
      </c>
      <c r="C189" s="17" t="s">
        <v>78</v>
      </c>
      <c r="D189" s="17" t="s">
        <v>98</v>
      </c>
      <c r="E189" s="17" t="n">
        <v>15</v>
      </c>
      <c r="F189" s="18" t="n">
        <v>95</v>
      </c>
      <c r="G189" s="19" t="n">
        <v>0</v>
      </c>
      <c r="H189" s="18" t="n">
        <v>1425</v>
      </c>
      <c r="I189" s="20"/>
    </row>
    <row r="190" customFormat="false" ht="15" hidden="false" customHeight="false" outlineLevel="0" collapsed="false">
      <c r="A190" s="16" t="n">
        <v>45712</v>
      </c>
      <c r="B190" s="17" t="s">
        <v>283</v>
      </c>
      <c r="C190" s="17" t="s">
        <v>75</v>
      </c>
      <c r="D190" s="17" t="s">
        <v>96</v>
      </c>
      <c r="E190" s="17" t="n">
        <v>5</v>
      </c>
      <c r="F190" s="18" t="n">
        <v>120</v>
      </c>
      <c r="G190" s="19" t="n">
        <v>0</v>
      </c>
      <c r="H190" s="18" t="n">
        <v>600</v>
      </c>
      <c r="I190" s="20"/>
    </row>
    <row r="191" customFormat="false" ht="15" hidden="false" customHeight="false" outlineLevel="0" collapsed="false">
      <c r="A191" s="16" t="n">
        <v>45713</v>
      </c>
      <c r="B191" s="17" t="s">
        <v>284</v>
      </c>
      <c r="C191" s="17" t="s">
        <v>78</v>
      </c>
      <c r="D191" s="17" t="s">
        <v>102</v>
      </c>
      <c r="E191" s="17" t="n">
        <v>19</v>
      </c>
      <c r="F191" s="18" t="n">
        <v>95</v>
      </c>
      <c r="G191" s="19" t="n">
        <v>0</v>
      </c>
      <c r="H191" s="18" t="n">
        <v>1805</v>
      </c>
      <c r="I191" s="20"/>
    </row>
    <row r="192" customFormat="false" ht="15" hidden="false" customHeight="false" outlineLevel="0" collapsed="false">
      <c r="A192" s="16" t="n">
        <v>45714</v>
      </c>
      <c r="B192" s="17" t="s">
        <v>285</v>
      </c>
      <c r="C192" s="17" t="s">
        <v>75</v>
      </c>
      <c r="D192" s="17" t="s">
        <v>102</v>
      </c>
      <c r="E192" s="17" t="n">
        <v>6</v>
      </c>
      <c r="F192" s="18" t="n">
        <v>120</v>
      </c>
      <c r="G192" s="19" t="n">
        <v>0</v>
      </c>
      <c r="H192" s="18" t="n">
        <v>720</v>
      </c>
      <c r="I192" s="20"/>
    </row>
    <row r="193" customFormat="false" ht="15" hidden="false" customHeight="false" outlineLevel="0" collapsed="false">
      <c r="A193" s="16" t="n">
        <v>45714</v>
      </c>
      <c r="B193" s="17" t="s">
        <v>286</v>
      </c>
      <c r="C193" s="17" t="s">
        <v>73</v>
      </c>
      <c r="D193" s="17" t="s">
        <v>102</v>
      </c>
      <c r="E193" s="17" t="n">
        <v>18</v>
      </c>
      <c r="F193" s="18" t="n">
        <v>1450</v>
      </c>
      <c r="G193" s="19" t="n">
        <v>0</v>
      </c>
      <c r="H193" s="18" t="n">
        <v>26100</v>
      </c>
      <c r="I193" s="20"/>
    </row>
    <row r="194" customFormat="false" ht="15" hidden="false" customHeight="false" outlineLevel="0" collapsed="false">
      <c r="A194" s="16" t="n">
        <v>45714</v>
      </c>
      <c r="B194" s="17" t="s">
        <v>287</v>
      </c>
      <c r="C194" s="17" t="s">
        <v>70</v>
      </c>
      <c r="D194" s="17" t="s">
        <v>92</v>
      </c>
      <c r="E194" s="17" t="n">
        <v>14</v>
      </c>
      <c r="F194" s="18" t="n">
        <v>850</v>
      </c>
      <c r="G194" s="19" t="n">
        <v>0.05</v>
      </c>
      <c r="H194" s="18" t="n">
        <v>11305</v>
      </c>
      <c r="I194" s="20"/>
    </row>
    <row r="195" customFormat="false" ht="15" hidden="false" customHeight="false" outlineLevel="0" collapsed="false">
      <c r="A195" s="16" t="n">
        <v>45715</v>
      </c>
      <c r="B195" s="17" t="s">
        <v>288</v>
      </c>
      <c r="C195" s="17" t="s">
        <v>75</v>
      </c>
      <c r="D195" s="17" t="s">
        <v>102</v>
      </c>
      <c r="E195" s="17" t="n">
        <v>15</v>
      </c>
      <c r="F195" s="18" t="n">
        <v>120</v>
      </c>
      <c r="G195" s="19" t="n">
        <v>0.1</v>
      </c>
      <c r="H195" s="18" t="n">
        <v>1620</v>
      </c>
      <c r="I195" s="20"/>
    </row>
    <row r="196" customFormat="false" ht="15" hidden="false" customHeight="false" outlineLevel="0" collapsed="false">
      <c r="A196" s="16" t="n">
        <v>45715</v>
      </c>
      <c r="B196" s="17" t="s">
        <v>289</v>
      </c>
      <c r="C196" s="17" t="s">
        <v>78</v>
      </c>
      <c r="D196" s="17" t="s">
        <v>92</v>
      </c>
      <c r="E196" s="17" t="n">
        <v>16</v>
      </c>
      <c r="F196" s="18" t="n">
        <v>95</v>
      </c>
      <c r="G196" s="19" t="n">
        <v>0</v>
      </c>
      <c r="H196" s="18" t="n">
        <v>1520</v>
      </c>
      <c r="I196" s="20"/>
    </row>
    <row r="197" customFormat="false" ht="15" hidden="false" customHeight="false" outlineLevel="0" collapsed="false">
      <c r="A197" s="16" t="n">
        <v>45715</v>
      </c>
      <c r="B197" s="17" t="s">
        <v>290</v>
      </c>
      <c r="C197" s="17" t="s">
        <v>75</v>
      </c>
      <c r="D197" s="17" t="s">
        <v>98</v>
      </c>
      <c r="E197" s="17" t="n">
        <v>2</v>
      </c>
      <c r="F197" s="18" t="n">
        <v>120</v>
      </c>
      <c r="G197" s="19" t="n">
        <v>0.05</v>
      </c>
      <c r="H197" s="18" t="n">
        <v>228</v>
      </c>
      <c r="I197" s="20"/>
    </row>
    <row r="198" customFormat="false" ht="15" hidden="false" customHeight="false" outlineLevel="0" collapsed="false">
      <c r="A198" s="16" t="n">
        <v>45715</v>
      </c>
      <c r="B198" s="17" t="s">
        <v>291</v>
      </c>
      <c r="C198" s="17" t="s">
        <v>73</v>
      </c>
      <c r="D198" s="17" t="s">
        <v>96</v>
      </c>
      <c r="E198" s="17" t="n">
        <v>8</v>
      </c>
      <c r="F198" s="18" t="n">
        <v>1450</v>
      </c>
      <c r="G198" s="19" t="n">
        <v>0</v>
      </c>
      <c r="H198" s="18" t="n">
        <v>11600</v>
      </c>
      <c r="I198" s="20"/>
    </row>
    <row r="199" customFormat="false" ht="15" hidden="false" customHeight="false" outlineLevel="0" collapsed="false">
      <c r="A199" s="16" t="n">
        <v>45715</v>
      </c>
      <c r="B199" s="17" t="s">
        <v>292</v>
      </c>
      <c r="C199" s="17" t="s">
        <v>75</v>
      </c>
      <c r="D199" s="17" t="s">
        <v>92</v>
      </c>
      <c r="E199" s="17" t="n">
        <v>10</v>
      </c>
      <c r="F199" s="18" t="n">
        <v>120</v>
      </c>
      <c r="G199" s="19" t="n">
        <v>0</v>
      </c>
      <c r="H199" s="18" t="n">
        <v>1200</v>
      </c>
      <c r="I199" s="20"/>
    </row>
    <row r="200" customFormat="false" ht="15" hidden="false" customHeight="false" outlineLevel="0" collapsed="false">
      <c r="A200" s="16" t="n">
        <v>45715</v>
      </c>
      <c r="B200" s="17" t="s">
        <v>293</v>
      </c>
      <c r="C200" s="17" t="s">
        <v>81</v>
      </c>
      <c r="D200" s="17" t="s">
        <v>96</v>
      </c>
      <c r="E200" s="17" t="n">
        <v>2</v>
      </c>
      <c r="F200" s="18" t="n">
        <v>60</v>
      </c>
      <c r="G200" s="19" t="n">
        <v>0</v>
      </c>
      <c r="H200" s="18" t="n">
        <v>120</v>
      </c>
      <c r="I200" s="20"/>
    </row>
    <row r="201" customFormat="false" ht="15" hidden="false" customHeight="false" outlineLevel="0" collapsed="false">
      <c r="A201" s="16" t="n">
        <v>45716</v>
      </c>
      <c r="B201" s="17" t="s">
        <v>294</v>
      </c>
      <c r="C201" s="17" t="s">
        <v>70</v>
      </c>
      <c r="D201" s="17" t="s">
        <v>102</v>
      </c>
      <c r="E201" s="17" t="n">
        <v>17</v>
      </c>
      <c r="F201" s="18" t="n">
        <v>850</v>
      </c>
      <c r="G201" s="19" t="n">
        <v>0.1</v>
      </c>
      <c r="H201" s="18" t="n">
        <v>13005</v>
      </c>
      <c r="I201" s="20"/>
    </row>
    <row r="202" customFormat="false" ht="15" hidden="false" customHeight="false" outlineLevel="0" collapsed="false">
      <c r="A202" s="16" t="n">
        <v>45716</v>
      </c>
      <c r="B202" s="17" t="s">
        <v>295</v>
      </c>
      <c r="C202" s="17" t="s">
        <v>70</v>
      </c>
      <c r="D202" s="17" t="s">
        <v>98</v>
      </c>
      <c r="E202" s="17" t="n">
        <v>14</v>
      </c>
      <c r="F202" s="18" t="n">
        <v>850</v>
      </c>
      <c r="G202" s="19" t="n">
        <v>0.05</v>
      </c>
      <c r="H202" s="18" t="n">
        <v>11305</v>
      </c>
      <c r="I202" s="20"/>
    </row>
    <row r="203" customFormat="false" ht="15" hidden="false" customHeight="false" outlineLevel="0" collapsed="false">
      <c r="A203" s="16" t="n">
        <v>45717</v>
      </c>
      <c r="B203" s="17" t="s">
        <v>296</v>
      </c>
      <c r="C203" s="17" t="s">
        <v>75</v>
      </c>
      <c r="D203" s="17" t="s">
        <v>98</v>
      </c>
      <c r="E203" s="17" t="n">
        <v>3</v>
      </c>
      <c r="F203" s="18" t="n">
        <v>120</v>
      </c>
      <c r="G203" s="19" t="n">
        <v>0</v>
      </c>
      <c r="H203" s="18" t="n">
        <v>360</v>
      </c>
      <c r="I203" s="20"/>
    </row>
    <row r="204" customFormat="false" ht="15" hidden="false" customHeight="false" outlineLevel="0" collapsed="false">
      <c r="A204" s="16" t="n">
        <v>45718</v>
      </c>
      <c r="B204" s="17" t="s">
        <v>297</v>
      </c>
      <c r="C204" s="17" t="s">
        <v>70</v>
      </c>
      <c r="D204" s="17" t="s">
        <v>92</v>
      </c>
      <c r="E204" s="17" t="n">
        <v>14</v>
      </c>
      <c r="F204" s="18" t="n">
        <v>850</v>
      </c>
      <c r="G204" s="19" t="n">
        <v>0.05</v>
      </c>
      <c r="H204" s="18" t="n">
        <v>11305</v>
      </c>
      <c r="I204" s="20"/>
    </row>
    <row r="205" customFormat="false" ht="15" hidden="false" customHeight="false" outlineLevel="0" collapsed="false">
      <c r="A205" s="16" t="n">
        <v>45718</v>
      </c>
      <c r="B205" s="17" t="s">
        <v>298</v>
      </c>
      <c r="C205" s="17" t="s">
        <v>70</v>
      </c>
      <c r="D205" s="17" t="s">
        <v>92</v>
      </c>
      <c r="E205" s="17" t="n">
        <v>8</v>
      </c>
      <c r="F205" s="18" t="n">
        <v>850</v>
      </c>
      <c r="G205" s="19" t="n">
        <v>0</v>
      </c>
      <c r="H205" s="18" t="n">
        <v>6800</v>
      </c>
      <c r="I205" s="20"/>
    </row>
    <row r="206" customFormat="false" ht="15" hidden="false" customHeight="false" outlineLevel="0" collapsed="false">
      <c r="A206" s="16" t="n">
        <v>45718</v>
      </c>
      <c r="B206" s="17" t="s">
        <v>299</v>
      </c>
      <c r="C206" s="17" t="s">
        <v>73</v>
      </c>
      <c r="D206" s="17" t="s">
        <v>92</v>
      </c>
      <c r="E206" s="17" t="n">
        <v>15</v>
      </c>
      <c r="F206" s="18" t="n">
        <v>1450</v>
      </c>
      <c r="G206" s="19" t="n">
        <v>0.1</v>
      </c>
      <c r="H206" s="18" t="n">
        <v>19575</v>
      </c>
      <c r="I206" s="20"/>
    </row>
    <row r="207" customFormat="false" ht="15" hidden="false" customHeight="false" outlineLevel="0" collapsed="false">
      <c r="A207" s="16" t="n">
        <v>45719</v>
      </c>
      <c r="B207" s="17" t="s">
        <v>300</v>
      </c>
      <c r="C207" s="17" t="s">
        <v>81</v>
      </c>
      <c r="D207" s="17" t="s">
        <v>98</v>
      </c>
      <c r="E207" s="17" t="n">
        <v>1</v>
      </c>
      <c r="F207" s="18" t="n">
        <v>60</v>
      </c>
      <c r="G207" s="19" t="n">
        <v>0</v>
      </c>
      <c r="H207" s="18" t="n">
        <v>60</v>
      </c>
      <c r="I207" s="20"/>
    </row>
    <row r="208" customFormat="false" ht="15" hidden="false" customHeight="false" outlineLevel="0" collapsed="false">
      <c r="A208" s="16" t="n">
        <v>45719</v>
      </c>
      <c r="B208" s="17" t="s">
        <v>301</v>
      </c>
      <c r="C208" s="17" t="s">
        <v>75</v>
      </c>
      <c r="D208" s="17" t="s">
        <v>96</v>
      </c>
      <c r="E208" s="17" t="n">
        <v>5</v>
      </c>
      <c r="F208" s="18" t="n">
        <v>120</v>
      </c>
      <c r="G208" s="19" t="n">
        <v>0.05</v>
      </c>
      <c r="H208" s="18" t="n">
        <v>570</v>
      </c>
      <c r="I208" s="20"/>
    </row>
    <row r="209" customFormat="false" ht="15" hidden="false" customHeight="false" outlineLevel="0" collapsed="false">
      <c r="A209" s="16" t="n">
        <v>45719</v>
      </c>
      <c r="B209" s="17" t="s">
        <v>302</v>
      </c>
      <c r="C209" s="17" t="s">
        <v>70</v>
      </c>
      <c r="D209" s="17" t="s">
        <v>92</v>
      </c>
      <c r="E209" s="17" t="n">
        <v>15</v>
      </c>
      <c r="F209" s="18" t="n">
        <v>850</v>
      </c>
      <c r="G209" s="19" t="n">
        <v>0.05</v>
      </c>
      <c r="H209" s="18" t="n">
        <v>12112.5</v>
      </c>
      <c r="I209" s="20"/>
    </row>
    <row r="210" customFormat="false" ht="15" hidden="false" customHeight="false" outlineLevel="0" collapsed="false">
      <c r="A210" s="16" t="n">
        <v>45720</v>
      </c>
      <c r="B210" s="17" t="s">
        <v>303</v>
      </c>
      <c r="C210" s="17" t="s">
        <v>78</v>
      </c>
      <c r="D210" s="17" t="s">
        <v>98</v>
      </c>
      <c r="E210" s="17" t="n">
        <v>8</v>
      </c>
      <c r="F210" s="18" t="n">
        <v>95</v>
      </c>
      <c r="G210" s="19" t="n">
        <v>0</v>
      </c>
      <c r="H210" s="18" t="n">
        <v>760</v>
      </c>
      <c r="I210" s="20"/>
    </row>
    <row r="211" customFormat="false" ht="15" hidden="false" customHeight="false" outlineLevel="0" collapsed="false">
      <c r="A211" s="16" t="n">
        <v>45720</v>
      </c>
      <c r="B211" s="17" t="s">
        <v>304</v>
      </c>
      <c r="C211" s="17" t="s">
        <v>70</v>
      </c>
      <c r="D211" s="17" t="s">
        <v>102</v>
      </c>
      <c r="E211" s="17" t="n">
        <v>5</v>
      </c>
      <c r="F211" s="18" t="n">
        <v>850</v>
      </c>
      <c r="G211" s="19" t="n">
        <v>0</v>
      </c>
      <c r="H211" s="18" t="n">
        <v>4250</v>
      </c>
      <c r="I211" s="20"/>
    </row>
    <row r="212" customFormat="false" ht="15" hidden="false" customHeight="false" outlineLevel="0" collapsed="false">
      <c r="A212" s="16" t="n">
        <v>45720</v>
      </c>
      <c r="B212" s="17" t="s">
        <v>305</v>
      </c>
      <c r="C212" s="17" t="s">
        <v>73</v>
      </c>
      <c r="D212" s="17" t="s">
        <v>96</v>
      </c>
      <c r="E212" s="17" t="n">
        <v>13</v>
      </c>
      <c r="F212" s="18" t="n">
        <v>1450</v>
      </c>
      <c r="G212" s="19" t="n">
        <v>0</v>
      </c>
      <c r="H212" s="18" t="n">
        <v>18850</v>
      </c>
      <c r="I212" s="20"/>
    </row>
    <row r="213" customFormat="false" ht="15" hidden="false" customHeight="false" outlineLevel="0" collapsed="false">
      <c r="A213" s="16" t="n">
        <v>45720</v>
      </c>
      <c r="B213" s="17" t="s">
        <v>306</v>
      </c>
      <c r="C213" s="17" t="s">
        <v>70</v>
      </c>
      <c r="D213" s="17" t="s">
        <v>96</v>
      </c>
      <c r="E213" s="17" t="n">
        <v>7</v>
      </c>
      <c r="F213" s="18" t="n">
        <v>850</v>
      </c>
      <c r="G213" s="19" t="n">
        <v>0.1</v>
      </c>
      <c r="H213" s="18" t="n">
        <v>5355</v>
      </c>
      <c r="I213" s="20"/>
    </row>
    <row r="214" customFormat="false" ht="15" hidden="false" customHeight="false" outlineLevel="0" collapsed="false">
      <c r="A214" s="16" t="n">
        <v>45720</v>
      </c>
      <c r="B214" s="17" t="s">
        <v>307</v>
      </c>
      <c r="C214" s="17" t="s">
        <v>81</v>
      </c>
      <c r="D214" s="17" t="s">
        <v>98</v>
      </c>
      <c r="E214" s="17" t="n">
        <v>8</v>
      </c>
      <c r="F214" s="18" t="n">
        <v>60</v>
      </c>
      <c r="G214" s="19" t="n">
        <v>0</v>
      </c>
      <c r="H214" s="18" t="n">
        <v>480</v>
      </c>
      <c r="I214" s="20"/>
    </row>
    <row r="215" customFormat="false" ht="15" hidden="false" customHeight="false" outlineLevel="0" collapsed="false">
      <c r="A215" s="16" t="n">
        <v>45720</v>
      </c>
      <c r="B215" s="17" t="s">
        <v>308</v>
      </c>
      <c r="C215" s="17" t="s">
        <v>75</v>
      </c>
      <c r="D215" s="17" t="s">
        <v>96</v>
      </c>
      <c r="E215" s="17" t="n">
        <v>14</v>
      </c>
      <c r="F215" s="18" t="n">
        <v>120</v>
      </c>
      <c r="G215" s="19" t="n">
        <v>0</v>
      </c>
      <c r="H215" s="18" t="n">
        <v>1680</v>
      </c>
      <c r="I215" s="20"/>
    </row>
    <row r="216" customFormat="false" ht="15" hidden="false" customHeight="false" outlineLevel="0" collapsed="false">
      <c r="A216" s="16" t="n">
        <v>45720</v>
      </c>
      <c r="B216" s="17" t="s">
        <v>309</v>
      </c>
      <c r="C216" s="17" t="s">
        <v>81</v>
      </c>
      <c r="D216" s="17" t="s">
        <v>92</v>
      </c>
      <c r="E216" s="17" t="n">
        <v>18</v>
      </c>
      <c r="F216" s="18" t="n">
        <v>60</v>
      </c>
      <c r="G216" s="19" t="n">
        <v>0.1</v>
      </c>
      <c r="H216" s="18" t="n">
        <v>972</v>
      </c>
      <c r="I216" s="20"/>
    </row>
    <row r="217" customFormat="false" ht="15" hidden="false" customHeight="false" outlineLevel="0" collapsed="false">
      <c r="A217" s="16" t="n">
        <v>45720</v>
      </c>
      <c r="B217" s="17" t="s">
        <v>310</v>
      </c>
      <c r="C217" s="17" t="s">
        <v>70</v>
      </c>
      <c r="D217" s="17" t="s">
        <v>96</v>
      </c>
      <c r="E217" s="17" t="n">
        <v>4</v>
      </c>
      <c r="F217" s="18" t="n">
        <v>850</v>
      </c>
      <c r="G217" s="19" t="n">
        <v>0</v>
      </c>
      <c r="H217" s="18" t="n">
        <v>3400</v>
      </c>
      <c r="I217" s="20"/>
    </row>
    <row r="218" customFormat="false" ht="15" hidden="false" customHeight="false" outlineLevel="0" collapsed="false">
      <c r="A218" s="16" t="n">
        <v>45720</v>
      </c>
      <c r="B218" s="17" t="s">
        <v>311</v>
      </c>
      <c r="C218" s="17" t="s">
        <v>73</v>
      </c>
      <c r="D218" s="17" t="s">
        <v>92</v>
      </c>
      <c r="E218" s="17" t="n">
        <v>15</v>
      </c>
      <c r="F218" s="18" t="n">
        <v>1450</v>
      </c>
      <c r="G218" s="19" t="n">
        <v>0.05</v>
      </c>
      <c r="H218" s="18" t="n">
        <v>20662.5</v>
      </c>
      <c r="I218" s="20"/>
    </row>
    <row r="219" customFormat="false" ht="15" hidden="false" customHeight="false" outlineLevel="0" collapsed="false">
      <c r="A219" s="16" t="n">
        <v>45721</v>
      </c>
      <c r="B219" s="17" t="s">
        <v>312</v>
      </c>
      <c r="C219" s="17" t="s">
        <v>78</v>
      </c>
      <c r="D219" s="17" t="s">
        <v>96</v>
      </c>
      <c r="E219" s="17" t="n">
        <v>9</v>
      </c>
      <c r="F219" s="18" t="n">
        <v>95</v>
      </c>
      <c r="G219" s="19" t="n">
        <v>0</v>
      </c>
      <c r="H219" s="18" t="n">
        <v>855</v>
      </c>
      <c r="I219" s="20"/>
    </row>
    <row r="220" customFormat="false" ht="15" hidden="false" customHeight="false" outlineLevel="0" collapsed="false">
      <c r="A220" s="16" t="n">
        <v>45722</v>
      </c>
      <c r="B220" s="17" t="s">
        <v>313</v>
      </c>
      <c r="C220" s="17" t="s">
        <v>81</v>
      </c>
      <c r="D220" s="17" t="s">
        <v>102</v>
      </c>
      <c r="E220" s="17" t="n">
        <v>7</v>
      </c>
      <c r="F220" s="18" t="n">
        <v>60</v>
      </c>
      <c r="G220" s="19" t="n">
        <v>0.1</v>
      </c>
      <c r="H220" s="18" t="n">
        <v>378</v>
      </c>
      <c r="I220" s="20"/>
    </row>
    <row r="221" customFormat="false" ht="15" hidden="false" customHeight="false" outlineLevel="0" collapsed="false">
      <c r="A221" s="16" t="n">
        <v>45722</v>
      </c>
      <c r="B221" s="17" t="s">
        <v>314</v>
      </c>
      <c r="C221" s="17" t="s">
        <v>81</v>
      </c>
      <c r="D221" s="17" t="s">
        <v>98</v>
      </c>
      <c r="E221" s="17" t="n">
        <v>10</v>
      </c>
      <c r="F221" s="18" t="n">
        <v>60</v>
      </c>
      <c r="G221" s="19" t="n">
        <v>0</v>
      </c>
      <c r="H221" s="18" t="n">
        <v>600</v>
      </c>
      <c r="I221" s="20"/>
    </row>
    <row r="222" customFormat="false" ht="15" hidden="false" customHeight="false" outlineLevel="0" collapsed="false">
      <c r="A222" s="16" t="n">
        <v>45722</v>
      </c>
      <c r="B222" s="17" t="s">
        <v>315</v>
      </c>
      <c r="C222" s="17" t="s">
        <v>78</v>
      </c>
      <c r="D222" s="17" t="s">
        <v>96</v>
      </c>
      <c r="E222" s="17" t="n">
        <v>20</v>
      </c>
      <c r="F222" s="18" t="n">
        <v>95</v>
      </c>
      <c r="G222" s="19" t="n">
        <v>0.05</v>
      </c>
      <c r="H222" s="18" t="n">
        <v>1805</v>
      </c>
      <c r="I222" s="20"/>
    </row>
    <row r="223" customFormat="false" ht="15" hidden="false" customHeight="false" outlineLevel="0" collapsed="false">
      <c r="A223" s="16" t="n">
        <v>45723</v>
      </c>
      <c r="B223" s="17" t="s">
        <v>316</v>
      </c>
      <c r="C223" s="17" t="s">
        <v>73</v>
      </c>
      <c r="D223" s="17" t="s">
        <v>98</v>
      </c>
      <c r="E223" s="17" t="n">
        <v>10</v>
      </c>
      <c r="F223" s="18" t="n">
        <v>1450</v>
      </c>
      <c r="G223" s="19" t="n">
        <v>0.05</v>
      </c>
      <c r="H223" s="18" t="n">
        <v>13775</v>
      </c>
      <c r="I223" s="20"/>
    </row>
    <row r="224" customFormat="false" ht="15" hidden="false" customHeight="false" outlineLevel="0" collapsed="false">
      <c r="A224" s="16" t="n">
        <v>45723</v>
      </c>
      <c r="B224" s="17" t="s">
        <v>317</v>
      </c>
      <c r="C224" s="17" t="s">
        <v>81</v>
      </c>
      <c r="D224" s="17" t="s">
        <v>96</v>
      </c>
      <c r="E224" s="17" t="n">
        <v>18</v>
      </c>
      <c r="F224" s="18" t="n">
        <v>60</v>
      </c>
      <c r="G224" s="19" t="n">
        <v>0</v>
      </c>
      <c r="H224" s="18" t="n">
        <v>1080</v>
      </c>
      <c r="I224" s="20"/>
    </row>
    <row r="225" customFormat="false" ht="15" hidden="false" customHeight="false" outlineLevel="0" collapsed="false">
      <c r="A225" s="16" t="n">
        <v>45723</v>
      </c>
      <c r="B225" s="17" t="s">
        <v>318</v>
      </c>
      <c r="C225" s="17" t="s">
        <v>81</v>
      </c>
      <c r="D225" s="17" t="s">
        <v>102</v>
      </c>
      <c r="E225" s="17" t="n">
        <v>15</v>
      </c>
      <c r="F225" s="18" t="n">
        <v>60</v>
      </c>
      <c r="G225" s="19" t="n">
        <v>0</v>
      </c>
      <c r="H225" s="18" t="n">
        <v>900</v>
      </c>
      <c r="I225" s="20"/>
    </row>
    <row r="226" customFormat="false" ht="15" hidden="false" customHeight="false" outlineLevel="0" collapsed="false">
      <c r="A226" s="16" t="n">
        <v>45723</v>
      </c>
      <c r="B226" s="17" t="s">
        <v>319</v>
      </c>
      <c r="C226" s="17" t="s">
        <v>70</v>
      </c>
      <c r="D226" s="17" t="s">
        <v>98</v>
      </c>
      <c r="E226" s="17" t="n">
        <v>14</v>
      </c>
      <c r="F226" s="18" t="n">
        <v>850</v>
      </c>
      <c r="G226" s="19" t="n">
        <v>0</v>
      </c>
      <c r="H226" s="18" t="n">
        <v>11900</v>
      </c>
      <c r="I226" s="20"/>
    </row>
    <row r="227" customFormat="false" ht="15" hidden="false" customHeight="false" outlineLevel="0" collapsed="false">
      <c r="A227" s="16" t="n">
        <v>45723</v>
      </c>
      <c r="B227" s="17" t="s">
        <v>320</v>
      </c>
      <c r="C227" s="17" t="s">
        <v>75</v>
      </c>
      <c r="D227" s="17" t="s">
        <v>92</v>
      </c>
      <c r="E227" s="17" t="n">
        <v>6</v>
      </c>
      <c r="F227" s="18" t="n">
        <v>120</v>
      </c>
      <c r="G227" s="19" t="n">
        <v>0</v>
      </c>
      <c r="H227" s="18" t="n">
        <v>720</v>
      </c>
      <c r="I227" s="20"/>
    </row>
    <row r="228" customFormat="false" ht="15" hidden="false" customHeight="false" outlineLevel="0" collapsed="false">
      <c r="A228" s="16" t="n">
        <v>45723</v>
      </c>
      <c r="B228" s="17" t="s">
        <v>321</v>
      </c>
      <c r="C228" s="17" t="s">
        <v>75</v>
      </c>
      <c r="D228" s="17" t="s">
        <v>102</v>
      </c>
      <c r="E228" s="17" t="n">
        <v>9</v>
      </c>
      <c r="F228" s="18" t="n">
        <v>120</v>
      </c>
      <c r="G228" s="19" t="n">
        <v>0</v>
      </c>
      <c r="H228" s="18" t="n">
        <v>1080</v>
      </c>
      <c r="I228" s="20"/>
    </row>
    <row r="229" customFormat="false" ht="15" hidden="false" customHeight="false" outlineLevel="0" collapsed="false">
      <c r="A229" s="16" t="n">
        <v>45724</v>
      </c>
      <c r="B229" s="17" t="s">
        <v>322</v>
      </c>
      <c r="C229" s="17" t="s">
        <v>78</v>
      </c>
      <c r="D229" s="17" t="s">
        <v>96</v>
      </c>
      <c r="E229" s="17" t="n">
        <v>6</v>
      </c>
      <c r="F229" s="18" t="n">
        <v>95</v>
      </c>
      <c r="G229" s="19" t="n">
        <v>0.1</v>
      </c>
      <c r="H229" s="18" t="n">
        <v>513</v>
      </c>
      <c r="I229" s="20"/>
    </row>
    <row r="230" customFormat="false" ht="15" hidden="false" customHeight="false" outlineLevel="0" collapsed="false">
      <c r="A230" s="16" t="n">
        <v>45724</v>
      </c>
      <c r="B230" s="17" t="s">
        <v>323</v>
      </c>
      <c r="C230" s="17" t="s">
        <v>75</v>
      </c>
      <c r="D230" s="17" t="s">
        <v>92</v>
      </c>
      <c r="E230" s="17" t="n">
        <v>10</v>
      </c>
      <c r="F230" s="18" t="n">
        <v>120</v>
      </c>
      <c r="G230" s="19" t="n">
        <v>0</v>
      </c>
      <c r="H230" s="18" t="n">
        <v>1200</v>
      </c>
      <c r="I230" s="20"/>
    </row>
    <row r="231" customFormat="false" ht="15" hidden="false" customHeight="false" outlineLevel="0" collapsed="false">
      <c r="A231" s="16" t="n">
        <v>45724</v>
      </c>
      <c r="B231" s="17" t="s">
        <v>324</v>
      </c>
      <c r="C231" s="17" t="s">
        <v>81</v>
      </c>
      <c r="D231" s="17" t="s">
        <v>96</v>
      </c>
      <c r="E231" s="17" t="n">
        <v>17</v>
      </c>
      <c r="F231" s="18" t="n">
        <v>60</v>
      </c>
      <c r="G231" s="19" t="n">
        <v>0</v>
      </c>
      <c r="H231" s="18" t="n">
        <v>1020</v>
      </c>
      <c r="I231" s="20"/>
    </row>
    <row r="232" customFormat="false" ht="15" hidden="false" customHeight="false" outlineLevel="0" collapsed="false">
      <c r="A232" s="16" t="n">
        <v>45725</v>
      </c>
      <c r="B232" s="17" t="s">
        <v>325</v>
      </c>
      <c r="C232" s="17" t="s">
        <v>78</v>
      </c>
      <c r="D232" s="17" t="s">
        <v>102</v>
      </c>
      <c r="E232" s="17" t="n">
        <v>15</v>
      </c>
      <c r="F232" s="18" t="n">
        <v>95</v>
      </c>
      <c r="G232" s="19" t="n">
        <v>0</v>
      </c>
      <c r="H232" s="18" t="n">
        <v>1425</v>
      </c>
      <c r="I232" s="20"/>
    </row>
    <row r="233" customFormat="false" ht="15" hidden="false" customHeight="false" outlineLevel="0" collapsed="false">
      <c r="A233" s="16" t="n">
        <v>45725</v>
      </c>
      <c r="B233" s="17" t="s">
        <v>326</v>
      </c>
      <c r="C233" s="17" t="s">
        <v>78</v>
      </c>
      <c r="D233" s="17" t="s">
        <v>102</v>
      </c>
      <c r="E233" s="17" t="n">
        <v>4</v>
      </c>
      <c r="F233" s="18" t="n">
        <v>95</v>
      </c>
      <c r="G233" s="19" t="n">
        <v>0</v>
      </c>
      <c r="H233" s="18" t="n">
        <v>380</v>
      </c>
      <c r="I233" s="20"/>
    </row>
    <row r="234" customFormat="false" ht="15" hidden="false" customHeight="false" outlineLevel="0" collapsed="false">
      <c r="A234" s="16" t="n">
        <v>45725</v>
      </c>
      <c r="B234" s="17" t="s">
        <v>327</v>
      </c>
      <c r="C234" s="17" t="s">
        <v>70</v>
      </c>
      <c r="D234" s="17" t="s">
        <v>102</v>
      </c>
      <c r="E234" s="17" t="n">
        <v>18</v>
      </c>
      <c r="F234" s="18" t="n">
        <v>850</v>
      </c>
      <c r="G234" s="19" t="n">
        <v>0.1</v>
      </c>
      <c r="H234" s="18" t="n">
        <v>13770</v>
      </c>
      <c r="I234" s="20"/>
    </row>
    <row r="235" customFormat="false" ht="15" hidden="false" customHeight="false" outlineLevel="0" collapsed="false">
      <c r="A235" s="16" t="n">
        <v>45725</v>
      </c>
      <c r="B235" s="17" t="s">
        <v>328</v>
      </c>
      <c r="C235" s="17" t="s">
        <v>81</v>
      </c>
      <c r="D235" s="17" t="s">
        <v>96</v>
      </c>
      <c r="E235" s="17" t="n">
        <v>6</v>
      </c>
      <c r="F235" s="18" t="n">
        <v>60</v>
      </c>
      <c r="G235" s="19" t="n">
        <v>0.1</v>
      </c>
      <c r="H235" s="18" t="n">
        <v>324</v>
      </c>
      <c r="I235" s="20"/>
    </row>
    <row r="236" customFormat="false" ht="15" hidden="false" customHeight="false" outlineLevel="0" collapsed="false">
      <c r="A236" s="16" t="n">
        <v>45725</v>
      </c>
      <c r="B236" s="17" t="s">
        <v>329</v>
      </c>
      <c r="C236" s="17" t="s">
        <v>78</v>
      </c>
      <c r="D236" s="17" t="s">
        <v>98</v>
      </c>
      <c r="E236" s="17" t="n">
        <v>17</v>
      </c>
      <c r="F236" s="18" t="n">
        <v>95</v>
      </c>
      <c r="G236" s="19" t="n">
        <v>0.1</v>
      </c>
      <c r="H236" s="18" t="n">
        <v>1453.5</v>
      </c>
      <c r="I236" s="20"/>
    </row>
    <row r="237" customFormat="false" ht="15" hidden="false" customHeight="false" outlineLevel="0" collapsed="false">
      <c r="A237" s="16" t="n">
        <v>45726</v>
      </c>
      <c r="B237" s="17" t="s">
        <v>330</v>
      </c>
      <c r="C237" s="17" t="s">
        <v>81</v>
      </c>
      <c r="D237" s="17" t="s">
        <v>102</v>
      </c>
      <c r="E237" s="17" t="n">
        <v>1</v>
      </c>
      <c r="F237" s="18" t="n">
        <v>60</v>
      </c>
      <c r="G237" s="19" t="n">
        <v>0</v>
      </c>
      <c r="H237" s="18" t="n">
        <v>60</v>
      </c>
      <c r="I237" s="20"/>
    </row>
    <row r="238" customFormat="false" ht="15" hidden="false" customHeight="false" outlineLevel="0" collapsed="false">
      <c r="A238" s="16" t="n">
        <v>45726</v>
      </c>
      <c r="B238" s="17" t="s">
        <v>331</v>
      </c>
      <c r="C238" s="17" t="s">
        <v>73</v>
      </c>
      <c r="D238" s="17" t="s">
        <v>98</v>
      </c>
      <c r="E238" s="17" t="n">
        <v>14</v>
      </c>
      <c r="F238" s="18" t="n">
        <v>1450</v>
      </c>
      <c r="G238" s="19" t="n">
        <v>0.1</v>
      </c>
      <c r="H238" s="18" t="n">
        <v>18270</v>
      </c>
      <c r="I238" s="20"/>
    </row>
    <row r="239" customFormat="false" ht="15" hidden="false" customHeight="false" outlineLevel="0" collapsed="false">
      <c r="A239" s="16" t="n">
        <v>45726</v>
      </c>
      <c r="B239" s="17" t="s">
        <v>332</v>
      </c>
      <c r="C239" s="17" t="s">
        <v>75</v>
      </c>
      <c r="D239" s="17" t="s">
        <v>98</v>
      </c>
      <c r="E239" s="17" t="n">
        <v>1</v>
      </c>
      <c r="F239" s="18" t="n">
        <v>120</v>
      </c>
      <c r="G239" s="19" t="n">
        <v>0</v>
      </c>
      <c r="H239" s="18" t="n">
        <v>120</v>
      </c>
      <c r="I239" s="20"/>
    </row>
    <row r="240" customFormat="false" ht="15" hidden="false" customHeight="false" outlineLevel="0" collapsed="false">
      <c r="A240" s="16" t="n">
        <v>45726</v>
      </c>
      <c r="B240" s="17" t="s">
        <v>333</v>
      </c>
      <c r="C240" s="17" t="s">
        <v>73</v>
      </c>
      <c r="D240" s="17" t="s">
        <v>98</v>
      </c>
      <c r="E240" s="17" t="n">
        <v>4</v>
      </c>
      <c r="F240" s="18" t="n">
        <v>1450</v>
      </c>
      <c r="G240" s="19" t="n">
        <v>0.05</v>
      </c>
      <c r="H240" s="18" t="n">
        <v>5510</v>
      </c>
      <c r="I240" s="20"/>
    </row>
    <row r="241" customFormat="false" ht="15" hidden="false" customHeight="false" outlineLevel="0" collapsed="false">
      <c r="A241" s="16" t="n">
        <v>45726</v>
      </c>
      <c r="B241" s="17" t="s">
        <v>334</v>
      </c>
      <c r="C241" s="17" t="s">
        <v>70</v>
      </c>
      <c r="D241" s="17" t="s">
        <v>98</v>
      </c>
      <c r="E241" s="17" t="n">
        <v>5</v>
      </c>
      <c r="F241" s="18" t="n">
        <v>850</v>
      </c>
      <c r="G241" s="19" t="n">
        <v>0.05</v>
      </c>
      <c r="H241" s="18" t="n">
        <v>4037.5</v>
      </c>
      <c r="I241" s="20"/>
    </row>
    <row r="242" customFormat="false" ht="15" hidden="false" customHeight="false" outlineLevel="0" collapsed="false">
      <c r="A242" s="16" t="n">
        <v>45727</v>
      </c>
      <c r="B242" s="17" t="s">
        <v>335</v>
      </c>
      <c r="C242" s="17" t="s">
        <v>81</v>
      </c>
      <c r="D242" s="17" t="s">
        <v>92</v>
      </c>
      <c r="E242" s="17" t="n">
        <v>6</v>
      </c>
      <c r="F242" s="18" t="n">
        <v>60</v>
      </c>
      <c r="G242" s="19" t="n">
        <v>0</v>
      </c>
      <c r="H242" s="18" t="n">
        <v>360</v>
      </c>
      <c r="I242" s="20"/>
    </row>
    <row r="243" customFormat="false" ht="15" hidden="false" customHeight="false" outlineLevel="0" collapsed="false">
      <c r="A243" s="16" t="n">
        <v>45727</v>
      </c>
      <c r="B243" s="17" t="s">
        <v>336</v>
      </c>
      <c r="C243" s="17" t="s">
        <v>78</v>
      </c>
      <c r="D243" s="17" t="s">
        <v>102</v>
      </c>
      <c r="E243" s="17" t="n">
        <v>20</v>
      </c>
      <c r="F243" s="18" t="n">
        <v>95</v>
      </c>
      <c r="G243" s="19" t="n">
        <v>0.1</v>
      </c>
      <c r="H243" s="18" t="n">
        <v>1710</v>
      </c>
      <c r="I243" s="20"/>
    </row>
    <row r="244" customFormat="false" ht="15" hidden="false" customHeight="false" outlineLevel="0" collapsed="false">
      <c r="A244" s="16" t="n">
        <v>45728</v>
      </c>
      <c r="B244" s="17" t="s">
        <v>337</v>
      </c>
      <c r="C244" s="17" t="s">
        <v>70</v>
      </c>
      <c r="D244" s="17" t="s">
        <v>98</v>
      </c>
      <c r="E244" s="17" t="n">
        <v>4</v>
      </c>
      <c r="F244" s="18" t="n">
        <v>850</v>
      </c>
      <c r="G244" s="19" t="n">
        <v>0</v>
      </c>
      <c r="H244" s="18" t="n">
        <v>3400</v>
      </c>
      <c r="I244" s="20"/>
    </row>
    <row r="245" customFormat="false" ht="15" hidden="false" customHeight="false" outlineLevel="0" collapsed="false">
      <c r="A245" s="16" t="n">
        <v>45728</v>
      </c>
      <c r="B245" s="17" t="s">
        <v>338</v>
      </c>
      <c r="C245" s="17" t="s">
        <v>70</v>
      </c>
      <c r="D245" s="17" t="s">
        <v>92</v>
      </c>
      <c r="E245" s="17" t="n">
        <v>18</v>
      </c>
      <c r="F245" s="18" t="n">
        <v>850</v>
      </c>
      <c r="G245" s="19" t="n">
        <v>0</v>
      </c>
      <c r="H245" s="18" t="n">
        <v>15300</v>
      </c>
      <c r="I245" s="20"/>
    </row>
    <row r="246" customFormat="false" ht="15" hidden="false" customHeight="false" outlineLevel="0" collapsed="false">
      <c r="A246" s="16" t="n">
        <v>45728</v>
      </c>
      <c r="B246" s="17" t="s">
        <v>339</v>
      </c>
      <c r="C246" s="17" t="s">
        <v>73</v>
      </c>
      <c r="D246" s="17" t="s">
        <v>96</v>
      </c>
      <c r="E246" s="17" t="n">
        <v>5</v>
      </c>
      <c r="F246" s="18" t="n">
        <v>1450</v>
      </c>
      <c r="G246" s="19" t="n">
        <v>0.05</v>
      </c>
      <c r="H246" s="18" t="n">
        <v>6887.5</v>
      </c>
      <c r="I246" s="20"/>
    </row>
    <row r="247" customFormat="false" ht="15" hidden="false" customHeight="false" outlineLevel="0" collapsed="false">
      <c r="A247" s="16" t="n">
        <v>45728</v>
      </c>
      <c r="B247" s="17" t="s">
        <v>340</v>
      </c>
      <c r="C247" s="17" t="s">
        <v>70</v>
      </c>
      <c r="D247" s="17" t="s">
        <v>98</v>
      </c>
      <c r="E247" s="17" t="n">
        <v>2</v>
      </c>
      <c r="F247" s="18" t="n">
        <v>850</v>
      </c>
      <c r="G247" s="19" t="n">
        <v>0.05</v>
      </c>
      <c r="H247" s="18" t="n">
        <v>1615</v>
      </c>
      <c r="I247" s="20"/>
    </row>
    <row r="248" customFormat="false" ht="15" hidden="false" customHeight="false" outlineLevel="0" collapsed="false">
      <c r="A248" s="16" t="n">
        <v>45728</v>
      </c>
      <c r="B248" s="17" t="s">
        <v>341</v>
      </c>
      <c r="C248" s="17" t="s">
        <v>70</v>
      </c>
      <c r="D248" s="17" t="s">
        <v>102</v>
      </c>
      <c r="E248" s="17" t="n">
        <v>12</v>
      </c>
      <c r="F248" s="18" t="n">
        <v>850</v>
      </c>
      <c r="G248" s="19" t="n">
        <v>0.05</v>
      </c>
      <c r="H248" s="18" t="n">
        <v>9690</v>
      </c>
      <c r="I248" s="20"/>
    </row>
    <row r="249" customFormat="false" ht="15" hidden="false" customHeight="false" outlineLevel="0" collapsed="false">
      <c r="A249" s="16" t="n">
        <v>45728</v>
      </c>
      <c r="B249" s="17" t="s">
        <v>342</v>
      </c>
      <c r="C249" s="17" t="s">
        <v>78</v>
      </c>
      <c r="D249" s="17" t="s">
        <v>102</v>
      </c>
      <c r="E249" s="17" t="n">
        <v>3</v>
      </c>
      <c r="F249" s="18" t="n">
        <v>95</v>
      </c>
      <c r="G249" s="19" t="n">
        <v>0</v>
      </c>
      <c r="H249" s="18" t="n">
        <v>285</v>
      </c>
      <c r="I249" s="20"/>
    </row>
    <row r="250" customFormat="false" ht="15" hidden="false" customHeight="false" outlineLevel="0" collapsed="false">
      <c r="A250" s="16" t="n">
        <v>45729</v>
      </c>
      <c r="B250" s="17" t="s">
        <v>343</v>
      </c>
      <c r="C250" s="17" t="s">
        <v>75</v>
      </c>
      <c r="D250" s="17" t="s">
        <v>92</v>
      </c>
      <c r="E250" s="17" t="n">
        <v>6</v>
      </c>
      <c r="F250" s="18" t="n">
        <v>120</v>
      </c>
      <c r="G250" s="19" t="n">
        <v>0.05</v>
      </c>
      <c r="H250" s="18" t="n">
        <v>684</v>
      </c>
      <c r="I250" s="20"/>
    </row>
    <row r="251" customFormat="false" ht="15" hidden="false" customHeight="false" outlineLevel="0" collapsed="false">
      <c r="A251" s="16" t="n">
        <v>45729</v>
      </c>
      <c r="B251" s="17" t="s">
        <v>344</v>
      </c>
      <c r="C251" s="17" t="s">
        <v>73</v>
      </c>
      <c r="D251" s="17" t="s">
        <v>96</v>
      </c>
      <c r="E251" s="17" t="n">
        <v>20</v>
      </c>
      <c r="F251" s="18" t="n">
        <v>1450</v>
      </c>
      <c r="G251" s="19" t="n">
        <v>0</v>
      </c>
      <c r="H251" s="18" t="n">
        <v>29000</v>
      </c>
      <c r="I251" s="20"/>
    </row>
    <row r="252" customFormat="false" ht="15" hidden="false" customHeight="false" outlineLevel="0" collapsed="false">
      <c r="A252" s="16" t="n">
        <v>45730</v>
      </c>
      <c r="B252" s="17" t="s">
        <v>345</v>
      </c>
      <c r="C252" s="17" t="s">
        <v>81</v>
      </c>
      <c r="D252" s="17" t="s">
        <v>102</v>
      </c>
      <c r="E252" s="17" t="n">
        <v>14</v>
      </c>
      <c r="F252" s="18" t="n">
        <v>60</v>
      </c>
      <c r="G252" s="19" t="n">
        <v>0.05</v>
      </c>
      <c r="H252" s="18" t="n">
        <v>798</v>
      </c>
      <c r="I252" s="20"/>
    </row>
    <row r="253" customFormat="false" ht="15" hidden="false" customHeight="false" outlineLevel="0" collapsed="false">
      <c r="A253" s="16" t="n">
        <v>45730</v>
      </c>
      <c r="B253" s="17" t="s">
        <v>346</v>
      </c>
      <c r="C253" s="17" t="s">
        <v>70</v>
      </c>
      <c r="D253" s="17" t="s">
        <v>98</v>
      </c>
      <c r="E253" s="17" t="n">
        <v>9</v>
      </c>
      <c r="F253" s="18" t="n">
        <v>850</v>
      </c>
      <c r="G253" s="19" t="n">
        <v>0.1</v>
      </c>
      <c r="H253" s="18" t="n">
        <v>6885</v>
      </c>
      <c r="I253" s="20"/>
    </row>
    <row r="254" customFormat="false" ht="15" hidden="false" customHeight="false" outlineLevel="0" collapsed="false">
      <c r="A254" s="16" t="n">
        <v>45730</v>
      </c>
      <c r="B254" s="17" t="s">
        <v>347</v>
      </c>
      <c r="C254" s="17" t="s">
        <v>70</v>
      </c>
      <c r="D254" s="17" t="s">
        <v>92</v>
      </c>
      <c r="E254" s="17" t="n">
        <v>12</v>
      </c>
      <c r="F254" s="18" t="n">
        <v>850</v>
      </c>
      <c r="G254" s="19" t="n">
        <v>0</v>
      </c>
      <c r="H254" s="18" t="n">
        <v>10200</v>
      </c>
      <c r="I254" s="20"/>
    </row>
    <row r="255" customFormat="false" ht="15" hidden="false" customHeight="false" outlineLevel="0" collapsed="false">
      <c r="A255" s="16" t="n">
        <v>45730</v>
      </c>
      <c r="B255" s="17" t="s">
        <v>348</v>
      </c>
      <c r="C255" s="17" t="s">
        <v>78</v>
      </c>
      <c r="D255" s="17" t="s">
        <v>92</v>
      </c>
      <c r="E255" s="17" t="n">
        <v>2</v>
      </c>
      <c r="F255" s="18" t="n">
        <v>95</v>
      </c>
      <c r="G255" s="19" t="n">
        <v>0.1</v>
      </c>
      <c r="H255" s="18" t="n">
        <v>171</v>
      </c>
      <c r="I255" s="20"/>
    </row>
    <row r="256" customFormat="false" ht="15" hidden="false" customHeight="false" outlineLevel="0" collapsed="false">
      <c r="A256" s="16" t="n">
        <v>45731</v>
      </c>
      <c r="B256" s="17" t="s">
        <v>349</v>
      </c>
      <c r="C256" s="17" t="s">
        <v>81</v>
      </c>
      <c r="D256" s="17" t="s">
        <v>98</v>
      </c>
      <c r="E256" s="17" t="n">
        <v>6</v>
      </c>
      <c r="F256" s="18" t="n">
        <v>60</v>
      </c>
      <c r="G256" s="19" t="n">
        <v>0</v>
      </c>
      <c r="H256" s="18" t="n">
        <v>360</v>
      </c>
      <c r="I256" s="20"/>
    </row>
    <row r="257" customFormat="false" ht="15" hidden="false" customHeight="false" outlineLevel="0" collapsed="false">
      <c r="A257" s="16" t="n">
        <v>45731</v>
      </c>
      <c r="B257" s="17" t="s">
        <v>350</v>
      </c>
      <c r="C257" s="17" t="s">
        <v>81</v>
      </c>
      <c r="D257" s="17" t="s">
        <v>98</v>
      </c>
      <c r="E257" s="17" t="n">
        <v>4</v>
      </c>
      <c r="F257" s="18" t="n">
        <v>60</v>
      </c>
      <c r="G257" s="19" t="n">
        <v>0</v>
      </c>
      <c r="H257" s="18" t="n">
        <v>240</v>
      </c>
      <c r="I257" s="20"/>
    </row>
    <row r="258" customFormat="false" ht="15" hidden="false" customHeight="false" outlineLevel="0" collapsed="false">
      <c r="A258" s="16" t="n">
        <v>45731</v>
      </c>
      <c r="B258" s="17" t="s">
        <v>351</v>
      </c>
      <c r="C258" s="17" t="s">
        <v>81</v>
      </c>
      <c r="D258" s="17" t="s">
        <v>102</v>
      </c>
      <c r="E258" s="17" t="n">
        <v>14</v>
      </c>
      <c r="F258" s="18" t="n">
        <v>60</v>
      </c>
      <c r="G258" s="19" t="n">
        <v>0.05</v>
      </c>
      <c r="H258" s="18" t="n">
        <v>798</v>
      </c>
      <c r="I258" s="20"/>
    </row>
    <row r="259" customFormat="false" ht="15" hidden="false" customHeight="false" outlineLevel="0" collapsed="false">
      <c r="A259" s="16" t="n">
        <v>45731</v>
      </c>
      <c r="B259" s="17" t="s">
        <v>352</v>
      </c>
      <c r="C259" s="17" t="s">
        <v>78</v>
      </c>
      <c r="D259" s="17" t="s">
        <v>102</v>
      </c>
      <c r="E259" s="17" t="n">
        <v>16</v>
      </c>
      <c r="F259" s="18" t="n">
        <v>95</v>
      </c>
      <c r="G259" s="19" t="n">
        <v>0</v>
      </c>
      <c r="H259" s="18" t="n">
        <v>1520</v>
      </c>
      <c r="I259" s="20"/>
    </row>
    <row r="260" customFormat="false" ht="15" hidden="false" customHeight="false" outlineLevel="0" collapsed="false">
      <c r="A260" s="16" t="n">
        <v>45731</v>
      </c>
      <c r="B260" s="17" t="s">
        <v>353</v>
      </c>
      <c r="C260" s="17" t="s">
        <v>78</v>
      </c>
      <c r="D260" s="17" t="s">
        <v>96</v>
      </c>
      <c r="E260" s="17" t="n">
        <v>2</v>
      </c>
      <c r="F260" s="18" t="n">
        <v>95</v>
      </c>
      <c r="G260" s="19" t="n">
        <v>0.05</v>
      </c>
      <c r="H260" s="18" t="n">
        <v>180.5</v>
      </c>
      <c r="I260" s="20"/>
    </row>
    <row r="261" customFormat="false" ht="15" hidden="false" customHeight="false" outlineLevel="0" collapsed="false">
      <c r="A261" s="16" t="n">
        <v>45732</v>
      </c>
      <c r="B261" s="17" t="s">
        <v>354</v>
      </c>
      <c r="C261" s="17" t="s">
        <v>81</v>
      </c>
      <c r="D261" s="17" t="s">
        <v>92</v>
      </c>
      <c r="E261" s="17" t="n">
        <v>4</v>
      </c>
      <c r="F261" s="18" t="n">
        <v>60</v>
      </c>
      <c r="G261" s="19" t="n">
        <v>0</v>
      </c>
      <c r="H261" s="18" t="n">
        <v>240</v>
      </c>
      <c r="I261" s="20"/>
    </row>
    <row r="262" customFormat="false" ht="15" hidden="false" customHeight="false" outlineLevel="0" collapsed="false">
      <c r="A262" s="16" t="n">
        <v>45733</v>
      </c>
      <c r="B262" s="17" t="s">
        <v>355</v>
      </c>
      <c r="C262" s="17" t="s">
        <v>78</v>
      </c>
      <c r="D262" s="17" t="s">
        <v>102</v>
      </c>
      <c r="E262" s="17" t="n">
        <v>10</v>
      </c>
      <c r="F262" s="18" t="n">
        <v>95</v>
      </c>
      <c r="G262" s="19" t="n">
        <v>0.05</v>
      </c>
      <c r="H262" s="18" t="n">
        <v>902.5</v>
      </c>
      <c r="I262" s="20"/>
    </row>
    <row r="263" customFormat="false" ht="15" hidden="false" customHeight="false" outlineLevel="0" collapsed="false">
      <c r="A263" s="16" t="n">
        <v>45734</v>
      </c>
      <c r="B263" s="17" t="s">
        <v>356</v>
      </c>
      <c r="C263" s="17" t="s">
        <v>78</v>
      </c>
      <c r="D263" s="17" t="s">
        <v>98</v>
      </c>
      <c r="E263" s="17" t="n">
        <v>15</v>
      </c>
      <c r="F263" s="18" t="n">
        <v>95</v>
      </c>
      <c r="G263" s="19" t="n">
        <v>0</v>
      </c>
      <c r="H263" s="18" t="n">
        <v>1425</v>
      </c>
      <c r="I263" s="20"/>
    </row>
    <row r="264" customFormat="false" ht="15" hidden="false" customHeight="false" outlineLevel="0" collapsed="false">
      <c r="A264" s="16" t="n">
        <v>45734</v>
      </c>
      <c r="B264" s="17" t="s">
        <v>357</v>
      </c>
      <c r="C264" s="17" t="s">
        <v>75</v>
      </c>
      <c r="D264" s="17" t="s">
        <v>102</v>
      </c>
      <c r="E264" s="17" t="n">
        <v>14</v>
      </c>
      <c r="F264" s="18" t="n">
        <v>120</v>
      </c>
      <c r="G264" s="19" t="n">
        <v>0</v>
      </c>
      <c r="H264" s="18" t="n">
        <v>1680</v>
      </c>
      <c r="I264" s="20"/>
    </row>
    <row r="265" customFormat="false" ht="15" hidden="false" customHeight="false" outlineLevel="0" collapsed="false">
      <c r="A265" s="16" t="n">
        <v>45734</v>
      </c>
      <c r="B265" s="17" t="s">
        <v>358</v>
      </c>
      <c r="C265" s="17" t="s">
        <v>81</v>
      </c>
      <c r="D265" s="17" t="s">
        <v>92</v>
      </c>
      <c r="E265" s="17" t="n">
        <v>4</v>
      </c>
      <c r="F265" s="18" t="n">
        <v>60</v>
      </c>
      <c r="G265" s="19" t="n">
        <v>0.1</v>
      </c>
      <c r="H265" s="18" t="n">
        <v>216</v>
      </c>
      <c r="I265" s="20"/>
    </row>
    <row r="266" customFormat="false" ht="15" hidden="false" customHeight="false" outlineLevel="0" collapsed="false">
      <c r="A266" s="16" t="n">
        <v>45734</v>
      </c>
      <c r="B266" s="17" t="s">
        <v>359</v>
      </c>
      <c r="C266" s="17" t="s">
        <v>75</v>
      </c>
      <c r="D266" s="17" t="s">
        <v>102</v>
      </c>
      <c r="E266" s="17" t="n">
        <v>4</v>
      </c>
      <c r="F266" s="18" t="n">
        <v>120</v>
      </c>
      <c r="G266" s="19" t="n">
        <v>0.05</v>
      </c>
      <c r="H266" s="18" t="n">
        <v>456</v>
      </c>
      <c r="I266" s="20"/>
    </row>
    <row r="267" customFormat="false" ht="15" hidden="false" customHeight="false" outlineLevel="0" collapsed="false">
      <c r="A267" s="16" t="n">
        <v>45735</v>
      </c>
      <c r="B267" s="17" t="s">
        <v>360</v>
      </c>
      <c r="C267" s="17" t="s">
        <v>70</v>
      </c>
      <c r="D267" s="17" t="s">
        <v>98</v>
      </c>
      <c r="E267" s="17" t="n">
        <v>9</v>
      </c>
      <c r="F267" s="18" t="n">
        <v>850</v>
      </c>
      <c r="G267" s="19" t="n">
        <v>0.1</v>
      </c>
      <c r="H267" s="18" t="n">
        <v>6885</v>
      </c>
      <c r="I267" s="20"/>
    </row>
    <row r="268" customFormat="false" ht="15" hidden="false" customHeight="false" outlineLevel="0" collapsed="false">
      <c r="A268" s="16" t="n">
        <v>45735</v>
      </c>
      <c r="B268" s="17" t="s">
        <v>361</v>
      </c>
      <c r="C268" s="17" t="s">
        <v>78</v>
      </c>
      <c r="D268" s="17" t="s">
        <v>98</v>
      </c>
      <c r="E268" s="17" t="n">
        <v>12</v>
      </c>
      <c r="F268" s="18" t="n">
        <v>95</v>
      </c>
      <c r="G268" s="19" t="n">
        <v>0</v>
      </c>
      <c r="H268" s="18" t="n">
        <v>1140</v>
      </c>
      <c r="I268" s="20"/>
    </row>
    <row r="269" customFormat="false" ht="15" hidden="false" customHeight="false" outlineLevel="0" collapsed="false">
      <c r="A269" s="16" t="n">
        <v>45736</v>
      </c>
      <c r="B269" s="17" t="s">
        <v>362</v>
      </c>
      <c r="C269" s="17" t="s">
        <v>75</v>
      </c>
      <c r="D269" s="17" t="s">
        <v>92</v>
      </c>
      <c r="E269" s="17" t="n">
        <v>5</v>
      </c>
      <c r="F269" s="18" t="n">
        <v>120</v>
      </c>
      <c r="G269" s="19" t="n">
        <v>0.05</v>
      </c>
      <c r="H269" s="18" t="n">
        <v>570</v>
      </c>
      <c r="I269" s="20"/>
    </row>
    <row r="270" customFormat="false" ht="15" hidden="false" customHeight="false" outlineLevel="0" collapsed="false">
      <c r="A270" s="16" t="n">
        <v>45736</v>
      </c>
      <c r="B270" s="17" t="s">
        <v>363</v>
      </c>
      <c r="C270" s="17" t="s">
        <v>75</v>
      </c>
      <c r="D270" s="17" t="s">
        <v>96</v>
      </c>
      <c r="E270" s="17" t="n">
        <v>17</v>
      </c>
      <c r="F270" s="18" t="n">
        <v>120</v>
      </c>
      <c r="G270" s="19" t="n">
        <v>0</v>
      </c>
      <c r="H270" s="18" t="n">
        <v>2040</v>
      </c>
      <c r="I270" s="20"/>
    </row>
    <row r="271" customFormat="false" ht="15" hidden="false" customHeight="false" outlineLevel="0" collapsed="false">
      <c r="A271" s="16" t="n">
        <v>45736</v>
      </c>
      <c r="B271" s="17" t="s">
        <v>364</v>
      </c>
      <c r="C271" s="17" t="s">
        <v>81</v>
      </c>
      <c r="D271" s="17" t="s">
        <v>92</v>
      </c>
      <c r="E271" s="17" t="n">
        <v>11</v>
      </c>
      <c r="F271" s="18" t="n">
        <v>60</v>
      </c>
      <c r="G271" s="19" t="n">
        <v>0</v>
      </c>
      <c r="H271" s="18" t="n">
        <v>660</v>
      </c>
      <c r="I271" s="20"/>
    </row>
    <row r="272" customFormat="false" ht="15" hidden="false" customHeight="false" outlineLevel="0" collapsed="false">
      <c r="A272" s="16" t="n">
        <v>45736</v>
      </c>
      <c r="B272" s="17" t="s">
        <v>365</v>
      </c>
      <c r="C272" s="17" t="s">
        <v>78</v>
      </c>
      <c r="D272" s="17" t="s">
        <v>96</v>
      </c>
      <c r="E272" s="17" t="n">
        <v>4</v>
      </c>
      <c r="F272" s="18" t="n">
        <v>95</v>
      </c>
      <c r="G272" s="19" t="n">
        <v>0</v>
      </c>
      <c r="H272" s="18" t="n">
        <v>380</v>
      </c>
      <c r="I272" s="20"/>
    </row>
    <row r="273" customFormat="false" ht="15" hidden="false" customHeight="false" outlineLevel="0" collapsed="false">
      <c r="A273" s="16" t="n">
        <v>45737</v>
      </c>
      <c r="B273" s="17" t="s">
        <v>366</v>
      </c>
      <c r="C273" s="17" t="s">
        <v>81</v>
      </c>
      <c r="D273" s="17" t="s">
        <v>102</v>
      </c>
      <c r="E273" s="17" t="n">
        <v>5</v>
      </c>
      <c r="F273" s="18" t="n">
        <v>60</v>
      </c>
      <c r="G273" s="19" t="n">
        <v>0.1</v>
      </c>
      <c r="H273" s="18" t="n">
        <v>270</v>
      </c>
      <c r="I273" s="20"/>
    </row>
    <row r="274" customFormat="false" ht="15" hidden="false" customHeight="false" outlineLevel="0" collapsed="false">
      <c r="A274" s="16" t="n">
        <v>45738</v>
      </c>
      <c r="B274" s="17" t="s">
        <v>367</v>
      </c>
      <c r="C274" s="17" t="s">
        <v>81</v>
      </c>
      <c r="D274" s="17" t="s">
        <v>102</v>
      </c>
      <c r="E274" s="17" t="n">
        <v>11</v>
      </c>
      <c r="F274" s="18" t="n">
        <v>60</v>
      </c>
      <c r="G274" s="19" t="n">
        <v>0.1</v>
      </c>
      <c r="H274" s="18" t="n">
        <v>594</v>
      </c>
      <c r="I274" s="20"/>
    </row>
    <row r="275" customFormat="false" ht="15" hidden="false" customHeight="false" outlineLevel="0" collapsed="false">
      <c r="A275" s="16" t="n">
        <v>45738</v>
      </c>
      <c r="B275" s="17" t="s">
        <v>368</v>
      </c>
      <c r="C275" s="17" t="s">
        <v>75</v>
      </c>
      <c r="D275" s="17" t="s">
        <v>96</v>
      </c>
      <c r="E275" s="17" t="n">
        <v>13</v>
      </c>
      <c r="F275" s="18" t="n">
        <v>120</v>
      </c>
      <c r="G275" s="19" t="n">
        <v>0.05</v>
      </c>
      <c r="H275" s="18" t="n">
        <v>1482</v>
      </c>
      <c r="I275" s="20"/>
    </row>
    <row r="276" customFormat="false" ht="15" hidden="false" customHeight="false" outlineLevel="0" collapsed="false">
      <c r="A276" s="16" t="n">
        <v>45739</v>
      </c>
      <c r="B276" s="17" t="s">
        <v>369</v>
      </c>
      <c r="C276" s="17" t="s">
        <v>75</v>
      </c>
      <c r="D276" s="17" t="s">
        <v>98</v>
      </c>
      <c r="E276" s="17" t="n">
        <v>12</v>
      </c>
      <c r="F276" s="18" t="n">
        <v>120</v>
      </c>
      <c r="G276" s="19" t="n">
        <v>0.05</v>
      </c>
      <c r="H276" s="18" t="n">
        <v>1368</v>
      </c>
      <c r="I276" s="20"/>
    </row>
    <row r="277" customFormat="false" ht="15" hidden="false" customHeight="false" outlineLevel="0" collapsed="false">
      <c r="A277" s="16" t="n">
        <v>45739</v>
      </c>
      <c r="B277" s="17" t="s">
        <v>370</v>
      </c>
      <c r="C277" s="17" t="s">
        <v>75</v>
      </c>
      <c r="D277" s="17" t="s">
        <v>96</v>
      </c>
      <c r="E277" s="17" t="n">
        <v>20</v>
      </c>
      <c r="F277" s="18" t="n">
        <v>120</v>
      </c>
      <c r="G277" s="19" t="n">
        <v>0.1</v>
      </c>
      <c r="H277" s="18" t="n">
        <v>2160</v>
      </c>
      <c r="I277" s="20"/>
    </row>
    <row r="278" customFormat="false" ht="15" hidden="false" customHeight="false" outlineLevel="0" collapsed="false">
      <c r="A278" s="16" t="n">
        <v>45739</v>
      </c>
      <c r="B278" s="17" t="s">
        <v>371</v>
      </c>
      <c r="C278" s="17" t="s">
        <v>70</v>
      </c>
      <c r="D278" s="17" t="s">
        <v>96</v>
      </c>
      <c r="E278" s="17" t="n">
        <v>3</v>
      </c>
      <c r="F278" s="18" t="n">
        <v>850</v>
      </c>
      <c r="G278" s="19" t="n">
        <v>0.05</v>
      </c>
      <c r="H278" s="18" t="n">
        <v>2422.5</v>
      </c>
      <c r="I278" s="20"/>
    </row>
    <row r="279" customFormat="false" ht="15" hidden="false" customHeight="false" outlineLevel="0" collapsed="false">
      <c r="A279" s="16" t="n">
        <v>45739</v>
      </c>
      <c r="B279" s="17" t="s">
        <v>372</v>
      </c>
      <c r="C279" s="17" t="s">
        <v>73</v>
      </c>
      <c r="D279" s="17" t="s">
        <v>102</v>
      </c>
      <c r="E279" s="17" t="n">
        <v>15</v>
      </c>
      <c r="F279" s="18" t="n">
        <v>1450</v>
      </c>
      <c r="G279" s="19" t="n">
        <v>0.1</v>
      </c>
      <c r="H279" s="18" t="n">
        <v>19575</v>
      </c>
      <c r="I279" s="20"/>
    </row>
    <row r="280" customFormat="false" ht="15" hidden="false" customHeight="false" outlineLevel="0" collapsed="false">
      <c r="A280" s="16" t="n">
        <v>45740</v>
      </c>
      <c r="B280" s="17" t="s">
        <v>373</v>
      </c>
      <c r="C280" s="17" t="s">
        <v>73</v>
      </c>
      <c r="D280" s="17" t="s">
        <v>92</v>
      </c>
      <c r="E280" s="17" t="n">
        <v>15</v>
      </c>
      <c r="F280" s="18" t="n">
        <v>1450</v>
      </c>
      <c r="G280" s="19" t="n">
        <v>0.1</v>
      </c>
      <c r="H280" s="18" t="n">
        <v>19575</v>
      </c>
      <c r="I280" s="20"/>
    </row>
    <row r="281" customFormat="false" ht="15" hidden="false" customHeight="false" outlineLevel="0" collapsed="false">
      <c r="A281" s="16" t="n">
        <v>45740</v>
      </c>
      <c r="B281" s="17" t="s">
        <v>374</v>
      </c>
      <c r="C281" s="17" t="s">
        <v>70</v>
      </c>
      <c r="D281" s="17" t="s">
        <v>102</v>
      </c>
      <c r="E281" s="17" t="n">
        <v>20</v>
      </c>
      <c r="F281" s="18" t="n">
        <v>850</v>
      </c>
      <c r="G281" s="19" t="n">
        <v>0.1</v>
      </c>
      <c r="H281" s="18" t="n">
        <v>15300</v>
      </c>
      <c r="I281" s="20"/>
    </row>
    <row r="282" customFormat="false" ht="15" hidden="false" customHeight="false" outlineLevel="0" collapsed="false">
      <c r="A282" s="16" t="n">
        <v>45741</v>
      </c>
      <c r="B282" s="17" t="s">
        <v>375</v>
      </c>
      <c r="C282" s="17" t="s">
        <v>78</v>
      </c>
      <c r="D282" s="17" t="s">
        <v>92</v>
      </c>
      <c r="E282" s="17" t="n">
        <v>17</v>
      </c>
      <c r="F282" s="18" t="n">
        <v>95</v>
      </c>
      <c r="G282" s="19" t="n">
        <v>0</v>
      </c>
      <c r="H282" s="18" t="n">
        <v>1615</v>
      </c>
      <c r="I282" s="20"/>
    </row>
    <row r="283" customFormat="false" ht="15" hidden="false" customHeight="false" outlineLevel="0" collapsed="false">
      <c r="A283" s="16" t="n">
        <v>45741</v>
      </c>
      <c r="B283" s="17" t="s">
        <v>376</v>
      </c>
      <c r="C283" s="17" t="s">
        <v>70</v>
      </c>
      <c r="D283" s="17" t="s">
        <v>102</v>
      </c>
      <c r="E283" s="17" t="n">
        <v>14</v>
      </c>
      <c r="F283" s="18" t="n">
        <v>850</v>
      </c>
      <c r="G283" s="19" t="n">
        <v>0</v>
      </c>
      <c r="H283" s="18" t="n">
        <v>11900</v>
      </c>
      <c r="I283" s="20"/>
    </row>
    <row r="284" customFormat="false" ht="15" hidden="false" customHeight="false" outlineLevel="0" collapsed="false">
      <c r="A284" s="16" t="n">
        <v>45741</v>
      </c>
      <c r="B284" s="17" t="s">
        <v>377</v>
      </c>
      <c r="C284" s="17" t="s">
        <v>78</v>
      </c>
      <c r="D284" s="17" t="s">
        <v>96</v>
      </c>
      <c r="E284" s="17" t="n">
        <v>19</v>
      </c>
      <c r="F284" s="18" t="n">
        <v>95</v>
      </c>
      <c r="G284" s="19" t="n">
        <v>0</v>
      </c>
      <c r="H284" s="18" t="n">
        <v>1805</v>
      </c>
      <c r="I284" s="20"/>
    </row>
    <row r="285" customFormat="false" ht="15" hidden="false" customHeight="false" outlineLevel="0" collapsed="false">
      <c r="A285" s="16" t="n">
        <v>45741</v>
      </c>
      <c r="B285" s="17" t="s">
        <v>378</v>
      </c>
      <c r="C285" s="17" t="s">
        <v>75</v>
      </c>
      <c r="D285" s="17" t="s">
        <v>96</v>
      </c>
      <c r="E285" s="17" t="n">
        <v>14</v>
      </c>
      <c r="F285" s="18" t="n">
        <v>120</v>
      </c>
      <c r="G285" s="19" t="n">
        <v>0</v>
      </c>
      <c r="H285" s="18" t="n">
        <v>1680</v>
      </c>
      <c r="I285" s="20"/>
    </row>
    <row r="286" customFormat="false" ht="15" hidden="false" customHeight="false" outlineLevel="0" collapsed="false">
      <c r="A286" s="16" t="n">
        <v>45741</v>
      </c>
      <c r="B286" s="17" t="s">
        <v>379</v>
      </c>
      <c r="C286" s="17" t="s">
        <v>73</v>
      </c>
      <c r="D286" s="17" t="s">
        <v>92</v>
      </c>
      <c r="E286" s="17" t="n">
        <v>12</v>
      </c>
      <c r="F286" s="18" t="n">
        <v>1450</v>
      </c>
      <c r="G286" s="19" t="n">
        <v>0.05</v>
      </c>
      <c r="H286" s="18" t="n">
        <v>16530</v>
      </c>
      <c r="I286" s="20"/>
    </row>
    <row r="287" customFormat="false" ht="15" hidden="false" customHeight="false" outlineLevel="0" collapsed="false">
      <c r="A287" s="16" t="n">
        <v>45742</v>
      </c>
      <c r="B287" s="17" t="s">
        <v>380</v>
      </c>
      <c r="C287" s="17" t="s">
        <v>81</v>
      </c>
      <c r="D287" s="17" t="s">
        <v>102</v>
      </c>
      <c r="E287" s="17" t="n">
        <v>17</v>
      </c>
      <c r="F287" s="18" t="n">
        <v>60</v>
      </c>
      <c r="G287" s="19" t="n">
        <v>0</v>
      </c>
      <c r="H287" s="18" t="n">
        <v>1020</v>
      </c>
      <c r="I287" s="20"/>
    </row>
    <row r="288" customFormat="false" ht="15" hidden="false" customHeight="false" outlineLevel="0" collapsed="false">
      <c r="A288" s="16" t="n">
        <v>45742</v>
      </c>
      <c r="B288" s="17" t="s">
        <v>381</v>
      </c>
      <c r="C288" s="17" t="s">
        <v>75</v>
      </c>
      <c r="D288" s="17" t="s">
        <v>102</v>
      </c>
      <c r="E288" s="17" t="n">
        <v>16</v>
      </c>
      <c r="F288" s="18" t="n">
        <v>120</v>
      </c>
      <c r="G288" s="19" t="n">
        <v>0</v>
      </c>
      <c r="H288" s="18" t="n">
        <v>1920</v>
      </c>
      <c r="I288" s="20"/>
    </row>
    <row r="289" customFormat="false" ht="15" hidden="false" customHeight="false" outlineLevel="0" collapsed="false">
      <c r="A289" s="16" t="n">
        <v>45742</v>
      </c>
      <c r="B289" s="17" t="s">
        <v>382</v>
      </c>
      <c r="C289" s="17" t="s">
        <v>73</v>
      </c>
      <c r="D289" s="17" t="s">
        <v>98</v>
      </c>
      <c r="E289" s="17" t="n">
        <v>6</v>
      </c>
      <c r="F289" s="18" t="n">
        <v>1450</v>
      </c>
      <c r="G289" s="19" t="n">
        <v>0</v>
      </c>
      <c r="H289" s="18" t="n">
        <v>8700</v>
      </c>
      <c r="I289" s="20"/>
    </row>
    <row r="290" customFormat="false" ht="15" hidden="false" customHeight="false" outlineLevel="0" collapsed="false">
      <c r="A290" s="16" t="n">
        <v>45743</v>
      </c>
      <c r="B290" s="17" t="s">
        <v>383</v>
      </c>
      <c r="C290" s="17" t="s">
        <v>70</v>
      </c>
      <c r="D290" s="17" t="s">
        <v>98</v>
      </c>
      <c r="E290" s="17" t="n">
        <v>18</v>
      </c>
      <c r="F290" s="18" t="n">
        <v>850</v>
      </c>
      <c r="G290" s="19" t="n">
        <v>0</v>
      </c>
      <c r="H290" s="18" t="n">
        <v>15300</v>
      </c>
      <c r="I290" s="20"/>
    </row>
    <row r="291" customFormat="false" ht="15" hidden="false" customHeight="false" outlineLevel="0" collapsed="false">
      <c r="A291" s="16" t="n">
        <v>45743</v>
      </c>
      <c r="B291" s="17" t="s">
        <v>384</v>
      </c>
      <c r="C291" s="17" t="s">
        <v>78</v>
      </c>
      <c r="D291" s="17" t="s">
        <v>98</v>
      </c>
      <c r="E291" s="17" t="n">
        <v>5</v>
      </c>
      <c r="F291" s="18" t="n">
        <v>95</v>
      </c>
      <c r="G291" s="19" t="n">
        <v>0</v>
      </c>
      <c r="H291" s="18" t="n">
        <v>475</v>
      </c>
      <c r="I291" s="20"/>
    </row>
    <row r="292" customFormat="false" ht="15" hidden="false" customHeight="false" outlineLevel="0" collapsed="false">
      <c r="A292" s="16" t="n">
        <v>45743</v>
      </c>
      <c r="B292" s="17" t="s">
        <v>385</v>
      </c>
      <c r="C292" s="17" t="s">
        <v>78</v>
      </c>
      <c r="D292" s="17" t="s">
        <v>96</v>
      </c>
      <c r="E292" s="17" t="n">
        <v>3</v>
      </c>
      <c r="F292" s="18" t="n">
        <v>95</v>
      </c>
      <c r="G292" s="19" t="n">
        <v>0.05</v>
      </c>
      <c r="H292" s="18" t="n">
        <v>270.75</v>
      </c>
      <c r="I292" s="20"/>
    </row>
    <row r="293" customFormat="false" ht="15" hidden="false" customHeight="false" outlineLevel="0" collapsed="false">
      <c r="A293" s="16" t="n">
        <v>45743</v>
      </c>
      <c r="B293" s="17" t="s">
        <v>386</v>
      </c>
      <c r="C293" s="17" t="s">
        <v>75</v>
      </c>
      <c r="D293" s="17" t="s">
        <v>96</v>
      </c>
      <c r="E293" s="17" t="n">
        <v>15</v>
      </c>
      <c r="F293" s="18" t="n">
        <v>120</v>
      </c>
      <c r="G293" s="19" t="n">
        <v>0</v>
      </c>
      <c r="H293" s="18" t="n">
        <v>1800</v>
      </c>
      <c r="I293" s="20"/>
    </row>
    <row r="294" customFormat="false" ht="15" hidden="false" customHeight="false" outlineLevel="0" collapsed="false">
      <c r="A294" s="16" t="n">
        <v>45743</v>
      </c>
      <c r="B294" s="17" t="s">
        <v>387</v>
      </c>
      <c r="C294" s="17" t="s">
        <v>73</v>
      </c>
      <c r="D294" s="17" t="s">
        <v>98</v>
      </c>
      <c r="E294" s="17" t="n">
        <v>14</v>
      </c>
      <c r="F294" s="18" t="n">
        <v>1450</v>
      </c>
      <c r="G294" s="19" t="n">
        <v>0.1</v>
      </c>
      <c r="H294" s="18" t="n">
        <v>18270</v>
      </c>
      <c r="I294" s="20"/>
    </row>
    <row r="295" customFormat="false" ht="15" hidden="false" customHeight="false" outlineLevel="0" collapsed="false">
      <c r="A295" s="16" t="n">
        <v>45743</v>
      </c>
      <c r="B295" s="17" t="s">
        <v>388</v>
      </c>
      <c r="C295" s="17" t="s">
        <v>81</v>
      </c>
      <c r="D295" s="17" t="s">
        <v>102</v>
      </c>
      <c r="E295" s="17" t="n">
        <v>10</v>
      </c>
      <c r="F295" s="18" t="n">
        <v>60</v>
      </c>
      <c r="G295" s="19" t="n">
        <v>0</v>
      </c>
      <c r="H295" s="18" t="n">
        <v>600</v>
      </c>
      <c r="I295" s="20"/>
    </row>
    <row r="296" customFormat="false" ht="15" hidden="false" customHeight="false" outlineLevel="0" collapsed="false">
      <c r="A296" s="16" t="n">
        <v>45743</v>
      </c>
      <c r="B296" s="17" t="s">
        <v>389</v>
      </c>
      <c r="C296" s="17" t="s">
        <v>78</v>
      </c>
      <c r="D296" s="17" t="s">
        <v>92</v>
      </c>
      <c r="E296" s="17" t="n">
        <v>15</v>
      </c>
      <c r="F296" s="18" t="n">
        <v>95</v>
      </c>
      <c r="G296" s="19" t="n">
        <v>0</v>
      </c>
      <c r="H296" s="18" t="n">
        <v>1425</v>
      </c>
      <c r="I296" s="20"/>
    </row>
    <row r="297" customFormat="false" ht="15" hidden="false" customHeight="false" outlineLevel="0" collapsed="false">
      <c r="A297" s="16" t="n">
        <v>45744</v>
      </c>
      <c r="B297" s="17" t="s">
        <v>390</v>
      </c>
      <c r="C297" s="17" t="s">
        <v>75</v>
      </c>
      <c r="D297" s="17" t="s">
        <v>92</v>
      </c>
      <c r="E297" s="17" t="n">
        <v>6</v>
      </c>
      <c r="F297" s="18" t="n">
        <v>120</v>
      </c>
      <c r="G297" s="19" t="n">
        <v>0</v>
      </c>
      <c r="H297" s="18" t="n">
        <v>720</v>
      </c>
      <c r="I297" s="20"/>
    </row>
    <row r="298" customFormat="false" ht="15" hidden="false" customHeight="false" outlineLevel="0" collapsed="false">
      <c r="A298" s="16" t="n">
        <v>45744</v>
      </c>
      <c r="B298" s="17" t="s">
        <v>391</v>
      </c>
      <c r="C298" s="17" t="s">
        <v>75</v>
      </c>
      <c r="D298" s="17" t="s">
        <v>98</v>
      </c>
      <c r="E298" s="17" t="n">
        <v>6</v>
      </c>
      <c r="F298" s="18" t="n">
        <v>120</v>
      </c>
      <c r="G298" s="19" t="n">
        <v>0</v>
      </c>
      <c r="H298" s="18" t="n">
        <v>720</v>
      </c>
      <c r="I298" s="20"/>
    </row>
    <row r="299" customFormat="false" ht="15" hidden="false" customHeight="false" outlineLevel="0" collapsed="false">
      <c r="A299" s="16" t="n">
        <v>45744</v>
      </c>
      <c r="B299" s="17" t="s">
        <v>392</v>
      </c>
      <c r="C299" s="17" t="s">
        <v>73</v>
      </c>
      <c r="D299" s="17" t="s">
        <v>96</v>
      </c>
      <c r="E299" s="17" t="n">
        <v>18</v>
      </c>
      <c r="F299" s="18" t="n">
        <v>1450</v>
      </c>
      <c r="G299" s="19" t="n">
        <v>0.1</v>
      </c>
      <c r="H299" s="18" t="n">
        <v>23490</v>
      </c>
      <c r="I299" s="20"/>
    </row>
    <row r="300" customFormat="false" ht="15" hidden="false" customHeight="false" outlineLevel="0" collapsed="false">
      <c r="A300" s="16" t="n">
        <v>45744</v>
      </c>
      <c r="B300" s="17" t="s">
        <v>393</v>
      </c>
      <c r="C300" s="17" t="s">
        <v>70</v>
      </c>
      <c r="D300" s="17" t="s">
        <v>98</v>
      </c>
      <c r="E300" s="17" t="n">
        <v>18</v>
      </c>
      <c r="F300" s="18" t="n">
        <v>850</v>
      </c>
      <c r="G300" s="19" t="n">
        <v>0.05</v>
      </c>
      <c r="H300" s="18" t="n">
        <v>14535</v>
      </c>
      <c r="I300" s="20"/>
    </row>
    <row r="301" customFormat="false" ht="15" hidden="false" customHeight="false" outlineLevel="0" collapsed="false">
      <c r="A301" s="16" t="n">
        <v>45744</v>
      </c>
      <c r="B301" s="17" t="s">
        <v>394</v>
      </c>
      <c r="C301" s="17" t="s">
        <v>73</v>
      </c>
      <c r="D301" s="17" t="s">
        <v>102</v>
      </c>
      <c r="E301" s="17" t="n">
        <v>20</v>
      </c>
      <c r="F301" s="18" t="n">
        <v>1450</v>
      </c>
      <c r="G301" s="19" t="n">
        <v>0.1</v>
      </c>
      <c r="H301" s="18" t="n">
        <v>26100</v>
      </c>
      <c r="I301" s="20"/>
    </row>
    <row r="302" customFormat="false" ht="15" hidden="false" customHeight="false" outlineLevel="0" collapsed="false">
      <c r="A302" s="16" t="n">
        <v>45744</v>
      </c>
      <c r="B302" s="17" t="s">
        <v>395</v>
      </c>
      <c r="C302" s="17" t="s">
        <v>75</v>
      </c>
      <c r="D302" s="17" t="s">
        <v>92</v>
      </c>
      <c r="E302" s="17" t="n">
        <v>18</v>
      </c>
      <c r="F302" s="18" t="n">
        <v>120</v>
      </c>
      <c r="G302" s="19" t="n">
        <v>0.1</v>
      </c>
      <c r="H302" s="18" t="n">
        <v>1944</v>
      </c>
      <c r="I302" s="20"/>
    </row>
    <row r="303" customFormat="false" ht="15" hidden="false" customHeight="false" outlineLevel="0" collapsed="false">
      <c r="A303" s="16" t="n">
        <v>45748</v>
      </c>
      <c r="B303" s="17" t="s">
        <v>396</v>
      </c>
      <c r="C303" s="17" t="s">
        <v>75</v>
      </c>
      <c r="D303" s="17" t="s">
        <v>96</v>
      </c>
      <c r="E303" s="17" t="n">
        <v>4</v>
      </c>
      <c r="F303" s="18" t="n">
        <v>120</v>
      </c>
      <c r="G303" s="19" t="n">
        <v>0</v>
      </c>
      <c r="H303" s="18" t="n">
        <v>480</v>
      </c>
      <c r="I303" s="20"/>
    </row>
    <row r="304" customFormat="false" ht="15" hidden="false" customHeight="false" outlineLevel="0" collapsed="false">
      <c r="A304" s="16" t="n">
        <v>45748</v>
      </c>
      <c r="B304" s="17" t="s">
        <v>397</v>
      </c>
      <c r="C304" s="17" t="s">
        <v>70</v>
      </c>
      <c r="D304" s="17" t="s">
        <v>92</v>
      </c>
      <c r="E304" s="17" t="n">
        <v>11</v>
      </c>
      <c r="F304" s="18" t="n">
        <v>850</v>
      </c>
      <c r="G304" s="19" t="n">
        <v>0</v>
      </c>
      <c r="H304" s="18" t="n">
        <v>9350</v>
      </c>
      <c r="I304" s="20"/>
    </row>
    <row r="305" customFormat="false" ht="15" hidden="false" customHeight="false" outlineLevel="0" collapsed="false">
      <c r="A305" s="16" t="n">
        <v>45748</v>
      </c>
      <c r="B305" s="17" t="s">
        <v>398</v>
      </c>
      <c r="C305" s="17" t="s">
        <v>78</v>
      </c>
      <c r="D305" s="17" t="s">
        <v>92</v>
      </c>
      <c r="E305" s="17" t="n">
        <v>2</v>
      </c>
      <c r="F305" s="18" t="n">
        <v>95</v>
      </c>
      <c r="G305" s="19" t="n">
        <v>0</v>
      </c>
      <c r="H305" s="18" t="n">
        <v>190</v>
      </c>
      <c r="I305" s="20"/>
    </row>
    <row r="306" customFormat="false" ht="15" hidden="false" customHeight="false" outlineLevel="0" collapsed="false">
      <c r="A306" s="16" t="n">
        <v>45748</v>
      </c>
      <c r="B306" s="17" t="s">
        <v>399</v>
      </c>
      <c r="C306" s="17" t="s">
        <v>73</v>
      </c>
      <c r="D306" s="17" t="s">
        <v>98</v>
      </c>
      <c r="E306" s="17" t="n">
        <v>1</v>
      </c>
      <c r="F306" s="18" t="n">
        <v>1450</v>
      </c>
      <c r="G306" s="19" t="n">
        <v>0</v>
      </c>
      <c r="H306" s="18" t="n">
        <v>1450</v>
      </c>
      <c r="I306" s="20"/>
    </row>
    <row r="307" customFormat="false" ht="15" hidden="false" customHeight="false" outlineLevel="0" collapsed="false">
      <c r="A307" s="16" t="n">
        <v>45748</v>
      </c>
      <c r="B307" s="17" t="s">
        <v>400</v>
      </c>
      <c r="C307" s="17" t="s">
        <v>70</v>
      </c>
      <c r="D307" s="17" t="s">
        <v>96</v>
      </c>
      <c r="E307" s="17" t="n">
        <v>10</v>
      </c>
      <c r="F307" s="18" t="n">
        <v>850</v>
      </c>
      <c r="G307" s="19" t="n">
        <v>0</v>
      </c>
      <c r="H307" s="18" t="n">
        <v>8500</v>
      </c>
      <c r="I307" s="20"/>
    </row>
    <row r="308" customFormat="false" ht="15" hidden="false" customHeight="false" outlineLevel="0" collapsed="false">
      <c r="A308" s="16" t="n">
        <v>45748</v>
      </c>
      <c r="B308" s="17" t="s">
        <v>401</v>
      </c>
      <c r="C308" s="17" t="s">
        <v>75</v>
      </c>
      <c r="D308" s="17" t="s">
        <v>98</v>
      </c>
      <c r="E308" s="17" t="n">
        <v>5</v>
      </c>
      <c r="F308" s="18" t="n">
        <v>120</v>
      </c>
      <c r="G308" s="19" t="n">
        <v>0.05</v>
      </c>
      <c r="H308" s="18" t="n">
        <v>570</v>
      </c>
      <c r="I308" s="20"/>
    </row>
    <row r="309" customFormat="false" ht="15" hidden="false" customHeight="false" outlineLevel="0" collapsed="false">
      <c r="A309" s="16" t="n">
        <v>45748</v>
      </c>
      <c r="B309" s="17" t="s">
        <v>402</v>
      </c>
      <c r="C309" s="17" t="s">
        <v>75</v>
      </c>
      <c r="D309" s="17" t="s">
        <v>92</v>
      </c>
      <c r="E309" s="17" t="n">
        <v>4</v>
      </c>
      <c r="F309" s="18" t="n">
        <v>120</v>
      </c>
      <c r="G309" s="19" t="n">
        <v>0</v>
      </c>
      <c r="H309" s="18" t="n">
        <v>480</v>
      </c>
      <c r="I309" s="20"/>
    </row>
    <row r="310" customFormat="false" ht="15" hidden="false" customHeight="false" outlineLevel="0" collapsed="false">
      <c r="A310" s="16" t="n">
        <v>45748</v>
      </c>
      <c r="B310" s="17" t="s">
        <v>403</v>
      </c>
      <c r="C310" s="17" t="s">
        <v>73</v>
      </c>
      <c r="D310" s="17" t="s">
        <v>98</v>
      </c>
      <c r="E310" s="17" t="n">
        <v>4</v>
      </c>
      <c r="F310" s="18" t="n">
        <v>1450</v>
      </c>
      <c r="G310" s="19" t="n">
        <v>0</v>
      </c>
      <c r="H310" s="18" t="n">
        <v>5800</v>
      </c>
      <c r="I310" s="20"/>
    </row>
    <row r="311" customFormat="false" ht="15" hidden="false" customHeight="false" outlineLevel="0" collapsed="false">
      <c r="A311" s="16" t="n">
        <v>45748</v>
      </c>
      <c r="B311" s="17" t="s">
        <v>404</v>
      </c>
      <c r="C311" s="17" t="s">
        <v>75</v>
      </c>
      <c r="D311" s="17" t="s">
        <v>102</v>
      </c>
      <c r="E311" s="17" t="n">
        <v>4</v>
      </c>
      <c r="F311" s="18" t="n">
        <v>120</v>
      </c>
      <c r="G311" s="19" t="n">
        <v>0</v>
      </c>
      <c r="H311" s="18" t="n">
        <v>480</v>
      </c>
      <c r="I311" s="20"/>
    </row>
    <row r="312" customFormat="false" ht="15" hidden="false" customHeight="false" outlineLevel="0" collapsed="false">
      <c r="A312" s="16" t="n">
        <v>45749</v>
      </c>
      <c r="B312" s="17" t="s">
        <v>405</v>
      </c>
      <c r="C312" s="17" t="s">
        <v>75</v>
      </c>
      <c r="D312" s="17" t="s">
        <v>96</v>
      </c>
      <c r="E312" s="17" t="n">
        <v>19</v>
      </c>
      <c r="F312" s="18" t="n">
        <v>120</v>
      </c>
      <c r="G312" s="19" t="n">
        <v>0.05</v>
      </c>
      <c r="H312" s="18" t="n">
        <v>2166</v>
      </c>
      <c r="I312" s="20"/>
    </row>
    <row r="313" customFormat="false" ht="15" hidden="false" customHeight="false" outlineLevel="0" collapsed="false">
      <c r="A313" s="16" t="n">
        <v>45749</v>
      </c>
      <c r="B313" s="17" t="s">
        <v>406</v>
      </c>
      <c r="C313" s="17" t="s">
        <v>70</v>
      </c>
      <c r="D313" s="17" t="s">
        <v>98</v>
      </c>
      <c r="E313" s="17" t="n">
        <v>10</v>
      </c>
      <c r="F313" s="18" t="n">
        <v>850</v>
      </c>
      <c r="G313" s="19" t="n">
        <v>0</v>
      </c>
      <c r="H313" s="18" t="n">
        <v>8500</v>
      </c>
      <c r="I313" s="20"/>
    </row>
    <row r="314" customFormat="false" ht="15" hidden="false" customHeight="false" outlineLevel="0" collapsed="false">
      <c r="A314" s="16" t="n">
        <v>45749</v>
      </c>
      <c r="B314" s="17" t="s">
        <v>407</v>
      </c>
      <c r="C314" s="17" t="s">
        <v>70</v>
      </c>
      <c r="D314" s="17" t="s">
        <v>96</v>
      </c>
      <c r="E314" s="17" t="n">
        <v>5</v>
      </c>
      <c r="F314" s="18" t="n">
        <v>850</v>
      </c>
      <c r="G314" s="19" t="n">
        <v>0.05</v>
      </c>
      <c r="H314" s="18" t="n">
        <v>4037.5</v>
      </c>
      <c r="I314" s="20"/>
    </row>
    <row r="315" customFormat="false" ht="15" hidden="false" customHeight="false" outlineLevel="0" collapsed="false">
      <c r="A315" s="16" t="n">
        <v>45749</v>
      </c>
      <c r="B315" s="17" t="s">
        <v>408</v>
      </c>
      <c r="C315" s="17" t="s">
        <v>81</v>
      </c>
      <c r="D315" s="17" t="s">
        <v>96</v>
      </c>
      <c r="E315" s="17" t="n">
        <v>3</v>
      </c>
      <c r="F315" s="18" t="n">
        <v>60</v>
      </c>
      <c r="G315" s="19" t="n">
        <v>0</v>
      </c>
      <c r="H315" s="18" t="n">
        <v>180</v>
      </c>
      <c r="I315" s="20"/>
    </row>
    <row r="316" customFormat="false" ht="15" hidden="false" customHeight="false" outlineLevel="0" collapsed="false">
      <c r="A316" s="16" t="n">
        <v>45749</v>
      </c>
      <c r="B316" s="17" t="s">
        <v>409</v>
      </c>
      <c r="C316" s="17" t="s">
        <v>78</v>
      </c>
      <c r="D316" s="17" t="s">
        <v>102</v>
      </c>
      <c r="E316" s="17" t="n">
        <v>13</v>
      </c>
      <c r="F316" s="18" t="n">
        <v>95</v>
      </c>
      <c r="G316" s="19" t="n">
        <v>0</v>
      </c>
      <c r="H316" s="18" t="n">
        <v>1235</v>
      </c>
      <c r="I316" s="20"/>
    </row>
    <row r="317" customFormat="false" ht="15" hidden="false" customHeight="false" outlineLevel="0" collapsed="false">
      <c r="A317" s="16" t="n">
        <v>45749</v>
      </c>
      <c r="B317" s="17" t="s">
        <v>410</v>
      </c>
      <c r="C317" s="17" t="s">
        <v>78</v>
      </c>
      <c r="D317" s="17" t="s">
        <v>96</v>
      </c>
      <c r="E317" s="17" t="n">
        <v>2</v>
      </c>
      <c r="F317" s="18" t="n">
        <v>95</v>
      </c>
      <c r="G317" s="19" t="n">
        <v>0</v>
      </c>
      <c r="H317" s="18" t="n">
        <v>190</v>
      </c>
      <c r="I317" s="20"/>
    </row>
    <row r="318" customFormat="false" ht="15" hidden="false" customHeight="false" outlineLevel="0" collapsed="false">
      <c r="A318" s="16" t="n">
        <v>45749</v>
      </c>
      <c r="B318" s="17" t="s">
        <v>411</v>
      </c>
      <c r="C318" s="17" t="s">
        <v>70</v>
      </c>
      <c r="D318" s="17" t="s">
        <v>98</v>
      </c>
      <c r="E318" s="17" t="n">
        <v>6</v>
      </c>
      <c r="F318" s="18" t="n">
        <v>850</v>
      </c>
      <c r="G318" s="19" t="n">
        <v>0</v>
      </c>
      <c r="H318" s="18" t="n">
        <v>5100</v>
      </c>
      <c r="I318" s="20"/>
    </row>
    <row r="319" customFormat="false" ht="15" hidden="false" customHeight="false" outlineLevel="0" collapsed="false">
      <c r="A319" s="16" t="n">
        <v>45749</v>
      </c>
      <c r="B319" s="17" t="s">
        <v>412</v>
      </c>
      <c r="C319" s="17" t="s">
        <v>81</v>
      </c>
      <c r="D319" s="17" t="s">
        <v>92</v>
      </c>
      <c r="E319" s="17" t="n">
        <v>18</v>
      </c>
      <c r="F319" s="18" t="n">
        <v>60</v>
      </c>
      <c r="G319" s="19" t="n">
        <v>0.05</v>
      </c>
      <c r="H319" s="18" t="n">
        <v>1026</v>
      </c>
      <c r="I319" s="20"/>
    </row>
    <row r="320" customFormat="false" ht="15" hidden="false" customHeight="false" outlineLevel="0" collapsed="false">
      <c r="A320" s="16" t="n">
        <v>45749</v>
      </c>
      <c r="B320" s="17" t="s">
        <v>413</v>
      </c>
      <c r="C320" s="17" t="s">
        <v>75</v>
      </c>
      <c r="D320" s="17" t="s">
        <v>102</v>
      </c>
      <c r="E320" s="17" t="n">
        <v>1</v>
      </c>
      <c r="F320" s="18" t="n">
        <v>120</v>
      </c>
      <c r="G320" s="19" t="n">
        <v>0</v>
      </c>
      <c r="H320" s="18" t="n">
        <v>120</v>
      </c>
      <c r="I320" s="20"/>
    </row>
    <row r="321" customFormat="false" ht="15" hidden="false" customHeight="false" outlineLevel="0" collapsed="false">
      <c r="A321" s="16" t="n">
        <v>45750</v>
      </c>
      <c r="B321" s="17" t="s">
        <v>414</v>
      </c>
      <c r="C321" s="17" t="s">
        <v>78</v>
      </c>
      <c r="D321" s="17" t="s">
        <v>98</v>
      </c>
      <c r="E321" s="17" t="n">
        <v>13</v>
      </c>
      <c r="F321" s="18" t="n">
        <v>95</v>
      </c>
      <c r="G321" s="19" t="n">
        <v>0</v>
      </c>
      <c r="H321" s="18" t="n">
        <v>1235</v>
      </c>
      <c r="I321" s="20"/>
    </row>
    <row r="322" customFormat="false" ht="15" hidden="false" customHeight="false" outlineLevel="0" collapsed="false">
      <c r="A322" s="16" t="n">
        <v>45750</v>
      </c>
      <c r="B322" s="17" t="s">
        <v>415</v>
      </c>
      <c r="C322" s="17" t="s">
        <v>70</v>
      </c>
      <c r="D322" s="17" t="s">
        <v>92</v>
      </c>
      <c r="E322" s="17" t="n">
        <v>9</v>
      </c>
      <c r="F322" s="18" t="n">
        <v>850</v>
      </c>
      <c r="G322" s="19" t="n">
        <v>0</v>
      </c>
      <c r="H322" s="18" t="n">
        <v>7650</v>
      </c>
      <c r="I322" s="20"/>
    </row>
    <row r="323" customFormat="false" ht="15" hidden="false" customHeight="false" outlineLevel="0" collapsed="false">
      <c r="A323" s="16" t="n">
        <v>45750</v>
      </c>
      <c r="B323" s="17" t="s">
        <v>416</v>
      </c>
      <c r="C323" s="17" t="s">
        <v>73</v>
      </c>
      <c r="D323" s="17" t="s">
        <v>92</v>
      </c>
      <c r="E323" s="17" t="n">
        <v>12</v>
      </c>
      <c r="F323" s="18" t="n">
        <v>1450</v>
      </c>
      <c r="G323" s="19" t="n">
        <v>0</v>
      </c>
      <c r="H323" s="18" t="n">
        <v>17400</v>
      </c>
      <c r="I323" s="20"/>
    </row>
    <row r="324" customFormat="false" ht="15" hidden="false" customHeight="false" outlineLevel="0" collapsed="false">
      <c r="A324" s="16" t="n">
        <v>45750</v>
      </c>
      <c r="B324" s="17" t="s">
        <v>417</v>
      </c>
      <c r="C324" s="17" t="s">
        <v>78</v>
      </c>
      <c r="D324" s="17" t="s">
        <v>98</v>
      </c>
      <c r="E324" s="17" t="n">
        <v>3</v>
      </c>
      <c r="F324" s="18" t="n">
        <v>95</v>
      </c>
      <c r="G324" s="19" t="n">
        <v>0</v>
      </c>
      <c r="H324" s="18" t="n">
        <v>285</v>
      </c>
      <c r="I324" s="20"/>
    </row>
    <row r="325" customFormat="false" ht="15" hidden="false" customHeight="false" outlineLevel="0" collapsed="false">
      <c r="A325" s="16" t="n">
        <v>45750</v>
      </c>
      <c r="B325" s="17" t="s">
        <v>418</v>
      </c>
      <c r="C325" s="17" t="s">
        <v>78</v>
      </c>
      <c r="D325" s="17" t="s">
        <v>102</v>
      </c>
      <c r="E325" s="17" t="n">
        <v>11</v>
      </c>
      <c r="F325" s="18" t="n">
        <v>95</v>
      </c>
      <c r="G325" s="19" t="n">
        <v>0.1</v>
      </c>
      <c r="H325" s="18" t="n">
        <v>940.5</v>
      </c>
      <c r="I325" s="20"/>
    </row>
    <row r="326" customFormat="false" ht="15" hidden="false" customHeight="false" outlineLevel="0" collapsed="false">
      <c r="A326" s="16" t="n">
        <v>45751</v>
      </c>
      <c r="B326" s="17" t="s">
        <v>419</v>
      </c>
      <c r="C326" s="17" t="s">
        <v>75</v>
      </c>
      <c r="D326" s="17" t="s">
        <v>98</v>
      </c>
      <c r="E326" s="17" t="n">
        <v>12</v>
      </c>
      <c r="F326" s="18" t="n">
        <v>120</v>
      </c>
      <c r="G326" s="19" t="n">
        <v>0</v>
      </c>
      <c r="H326" s="18" t="n">
        <v>1440</v>
      </c>
      <c r="I326" s="20"/>
    </row>
    <row r="327" customFormat="false" ht="15" hidden="false" customHeight="false" outlineLevel="0" collapsed="false">
      <c r="A327" s="16" t="n">
        <v>45751</v>
      </c>
      <c r="B327" s="17" t="s">
        <v>420</v>
      </c>
      <c r="C327" s="17" t="s">
        <v>75</v>
      </c>
      <c r="D327" s="17" t="s">
        <v>98</v>
      </c>
      <c r="E327" s="17" t="n">
        <v>18</v>
      </c>
      <c r="F327" s="18" t="n">
        <v>120</v>
      </c>
      <c r="G327" s="19" t="n">
        <v>0</v>
      </c>
      <c r="H327" s="18" t="n">
        <v>2160</v>
      </c>
      <c r="I327" s="20"/>
    </row>
    <row r="328" customFormat="false" ht="15" hidden="false" customHeight="false" outlineLevel="0" collapsed="false">
      <c r="A328" s="16" t="n">
        <v>45751</v>
      </c>
      <c r="B328" s="17" t="s">
        <v>421</v>
      </c>
      <c r="C328" s="17" t="s">
        <v>78</v>
      </c>
      <c r="D328" s="17" t="s">
        <v>98</v>
      </c>
      <c r="E328" s="17" t="n">
        <v>16</v>
      </c>
      <c r="F328" s="18" t="n">
        <v>95</v>
      </c>
      <c r="G328" s="19" t="n">
        <v>0.05</v>
      </c>
      <c r="H328" s="18" t="n">
        <v>1444</v>
      </c>
      <c r="I328" s="20"/>
    </row>
    <row r="329" customFormat="false" ht="15" hidden="false" customHeight="false" outlineLevel="0" collapsed="false">
      <c r="A329" s="16" t="n">
        <v>45751</v>
      </c>
      <c r="B329" s="17" t="s">
        <v>422</v>
      </c>
      <c r="C329" s="17" t="s">
        <v>78</v>
      </c>
      <c r="D329" s="17" t="s">
        <v>102</v>
      </c>
      <c r="E329" s="17" t="n">
        <v>6</v>
      </c>
      <c r="F329" s="18" t="n">
        <v>95</v>
      </c>
      <c r="G329" s="19" t="n">
        <v>0.05</v>
      </c>
      <c r="H329" s="18" t="n">
        <v>541.5</v>
      </c>
      <c r="I329" s="20"/>
    </row>
    <row r="330" customFormat="false" ht="15" hidden="false" customHeight="false" outlineLevel="0" collapsed="false">
      <c r="A330" s="16" t="n">
        <v>45751</v>
      </c>
      <c r="B330" s="17" t="s">
        <v>423</v>
      </c>
      <c r="C330" s="17" t="s">
        <v>78</v>
      </c>
      <c r="D330" s="17" t="s">
        <v>98</v>
      </c>
      <c r="E330" s="17" t="n">
        <v>3</v>
      </c>
      <c r="F330" s="18" t="n">
        <v>95</v>
      </c>
      <c r="G330" s="19" t="n">
        <v>0</v>
      </c>
      <c r="H330" s="18" t="n">
        <v>285</v>
      </c>
      <c r="I330" s="20"/>
    </row>
    <row r="331" customFormat="false" ht="15" hidden="false" customHeight="false" outlineLevel="0" collapsed="false">
      <c r="A331" s="16" t="n">
        <v>45753</v>
      </c>
      <c r="B331" s="17" t="s">
        <v>424</v>
      </c>
      <c r="C331" s="17" t="s">
        <v>75</v>
      </c>
      <c r="D331" s="17" t="s">
        <v>96</v>
      </c>
      <c r="E331" s="17" t="n">
        <v>14</v>
      </c>
      <c r="F331" s="18" t="n">
        <v>120</v>
      </c>
      <c r="G331" s="19" t="n">
        <v>0</v>
      </c>
      <c r="H331" s="18" t="n">
        <v>1680</v>
      </c>
      <c r="I331" s="20"/>
    </row>
    <row r="332" customFormat="false" ht="15" hidden="false" customHeight="false" outlineLevel="0" collapsed="false">
      <c r="A332" s="16" t="n">
        <v>45753</v>
      </c>
      <c r="B332" s="17" t="s">
        <v>425</v>
      </c>
      <c r="C332" s="17" t="s">
        <v>73</v>
      </c>
      <c r="D332" s="17" t="s">
        <v>98</v>
      </c>
      <c r="E332" s="17" t="n">
        <v>17</v>
      </c>
      <c r="F332" s="18" t="n">
        <v>1450</v>
      </c>
      <c r="G332" s="19" t="n">
        <v>0.05</v>
      </c>
      <c r="H332" s="18" t="n">
        <v>23417.5</v>
      </c>
      <c r="I332" s="20"/>
    </row>
    <row r="333" customFormat="false" ht="15" hidden="false" customHeight="false" outlineLevel="0" collapsed="false">
      <c r="A333" s="16" t="n">
        <v>45753</v>
      </c>
      <c r="B333" s="17" t="s">
        <v>426</v>
      </c>
      <c r="C333" s="17" t="s">
        <v>75</v>
      </c>
      <c r="D333" s="17" t="s">
        <v>102</v>
      </c>
      <c r="E333" s="17" t="n">
        <v>13</v>
      </c>
      <c r="F333" s="18" t="n">
        <v>120</v>
      </c>
      <c r="G333" s="19" t="n">
        <v>0.1</v>
      </c>
      <c r="H333" s="18" t="n">
        <v>1404</v>
      </c>
      <c r="I333" s="20"/>
    </row>
    <row r="334" customFormat="false" ht="15" hidden="false" customHeight="false" outlineLevel="0" collapsed="false">
      <c r="A334" s="16" t="n">
        <v>45754</v>
      </c>
      <c r="B334" s="17" t="s">
        <v>427</v>
      </c>
      <c r="C334" s="17" t="s">
        <v>81</v>
      </c>
      <c r="D334" s="17" t="s">
        <v>102</v>
      </c>
      <c r="E334" s="17" t="n">
        <v>9</v>
      </c>
      <c r="F334" s="18" t="n">
        <v>60</v>
      </c>
      <c r="G334" s="19" t="n">
        <v>0.1</v>
      </c>
      <c r="H334" s="18" t="n">
        <v>486</v>
      </c>
      <c r="I334" s="20"/>
    </row>
    <row r="335" customFormat="false" ht="15" hidden="false" customHeight="false" outlineLevel="0" collapsed="false">
      <c r="A335" s="16" t="n">
        <v>45754</v>
      </c>
      <c r="B335" s="17" t="s">
        <v>428</v>
      </c>
      <c r="C335" s="17" t="s">
        <v>78</v>
      </c>
      <c r="D335" s="17" t="s">
        <v>92</v>
      </c>
      <c r="E335" s="17" t="n">
        <v>1</v>
      </c>
      <c r="F335" s="18" t="n">
        <v>95</v>
      </c>
      <c r="G335" s="19" t="n">
        <v>0</v>
      </c>
      <c r="H335" s="18" t="n">
        <v>95</v>
      </c>
      <c r="I335" s="20"/>
    </row>
    <row r="336" customFormat="false" ht="15" hidden="false" customHeight="false" outlineLevel="0" collapsed="false">
      <c r="A336" s="16" t="n">
        <v>45754</v>
      </c>
      <c r="B336" s="17" t="s">
        <v>429</v>
      </c>
      <c r="C336" s="17" t="s">
        <v>78</v>
      </c>
      <c r="D336" s="17" t="s">
        <v>96</v>
      </c>
      <c r="E336" s="17" t="n">
        <v>3</v>
      </c>
      <c r="F336" s="18" t="n">
        <v>95</v>
      </c>
      <c r="G336" s="19" t="n">
        <v>0.05</v>
      </c>
      <c r="H336" s="18" t="n">
        <v>270.75</v>
      </c>
      <c r="I336" s="20"/>
    </row>
    <row r="337" customFormat="false" ht="15" hidden="false" customHeight="false" outlineLevel="0" collapsed="false">
      <c r="A337" s="16" t="n">
        <v>45754</v>
      </c>
      <c r="B337" s="17" t="s">
        <v>430</v>
      </c>
      <c r="C337" s="17" t="s">
        <v>75</v>
      </c>
      <c r="D337" s="17" t="s">
        <v>96</v>
      </c>
      <c r="E337" s="17" t="n">
        <v>8</v>
      </c>
      <c r="F337" s="18" t="n">
        <v>120</v>
      </c>
      <c r="G337" s="19" t="n">
        <v>0</v>
      </c>
      <c r="H337" s="18" t="n">
        <v>960</v>
      </c>
      <c r="I337" s="20"/>
    </row>
    <row r="338" customFormat="false" ht="15" hidden="false" customHeight="false" outlineLevel="0" collapsed="false">
      <c r="A338" s="16" t="n">
        <v>45755</v>
      </c>
      <c r="B338" s="17" t="s">
        <v>431</v>
      </c>
      <c r="C338" s="17" t="s">
        <v>78</v>
      </c>
      <c r="D338" s="17" t="s">
        <v>102</v>
      </c>
      <c r="E338" s="17" t="n">
        <v>8</v>
      </c>
      <c r="F338" s="18" t="n">
        <v>95</v>
      </c>
      <c r="G338" s="19" t="n">
        <v>0</v>
      </c>
      <c r="H338" s="18" t="n">
        <v>760</v>
      </c>
      <c r="I338" s="20"/>
    </row>
    <row r="339" customFormat="false" ht="15" hidden="false" customHeight="false" outlineLevel="0" collapsed="false">
      <c r="A339" s="16" t="n">
        <v>45755</v>
      </c>
      <c r="B339" s="17" t="s">
        <v>432</v>
      </c>
      <c r="C339" s="17" t="s">
        <v>75</v>
      </c>
      <c r="D339" s="17" t="s">
        <v>92</v>
      </c>
      <c r="E339" s="17" t="n">
        <v>20</v>
      </c>
      <c r="F339" s="18" t="n">
        <v>120</v>
      </c>
      <c r="G339" s="19" t="n">
        <v>0</v>
      </c>
      <c r="H339" s="18" t="n">
        <v>2400</v>
      </c>
      <c r="I339" s="20"/>
    </row>
    <row r="340" customFormat="false" ht="15" hidden="false" customHeight="false" outlineLevel="0" collapsed="false">
      <c r="A340" s="16" t="n">
        <v>45755</v>
      </c>
      <c r="B340" s="17" t="s">
        <v>433</v>
      </c>
      <c r="C340" s="17" t="s">
        <v>78</v>
      </c>
      <c r="D340" s="17" t="s">
        <v>98</v>
      </c>
      <c r="E340" s="17" t="n">
        <v>13</v>
      </c>
      <c r="F340" s="18" t="n">
        <v>95</v>
      </c>
      <c r="G340" s="19" t="n">
        <v>0</v>
      </c>
      <c r="H340" s="18" t="n">
        <v>1235</v>
      </c>
      <c r="I340" s="20"/>
    </row>
    <row r="341" customFormat="false" ht="15" hidden="false" customHeight="false" outlineLevel="0" collapsed="false">
      <c r="A341" s="16" t="n">
        <v>45755</v>
      </c>
      <c r="B341" s="17" t="s">
        <v>434</v>
      </c>
      <c r="C341" s="17" t="s">
        <v>73</v>
      </c>
      <c r="D341" s="17" t="s">
        <v>96</v>
      </c>
      <c r="E341" s="17" t="n">
        <v>11</v>
      </c>
      <c r="F341" s="18" t="n">
        <v>1450</v>
      </c>
      <c r="G341" s="19" t="n">
        <v>0</v>
      </c>
      <c r="H341" s="18" t="n">
        <v>15950</v>
      </c>
      <c r="I341" s="20"/>
    </row>
    <row r="342" customFormat="false" ht="15" hidden="false" customHeight="false" outlineLevel="0" collapsed="false">
      <c r="A342" s="16" t="n">
        <v>45756</v>
      </c>
      <c r="B342" s="17" t="s">
        <v>435</v>
      </c>
      <c r="C342" s="17" t="s">
        <v>78</v>
      </c>
      <c r="D342" s="17" t="s">
        <v>102</v>
      </c>
      <c r="E342" s="17" t="n">
        <v>3</v>
      </c>
      <c r="F342" s="18" t="n">
        <v>95</v>
      </c>
      <c r="G342" s="19" t="n">
        <v>0.05</v>
      </c>
      <c r="H342" s="18" t="n">
        <v>270.75</v>
      </c>
      <c r="I342" s="20"/>
    </row>
    <row r="343" customFormat="false" ht="15" hidden="false" customHeight="false" outlineLevel="0" collapsed="false">
      <c r="A343" s="16" t="n">
        <v>45756</v>
      </c>
      <c r="B343" s="17" t="s">
        <v>436</v>
      </c>
      <c r="C343" s="17" t="s">
        <v>75</v>
      </c>
      <c r="D343" s="17" t="s">
        <v>92</v>
      </c>
      <c r="E343" s="17" t="n">
        <v>8</v>
      </c>
      <c r="F343" s="18" t="n">
        <v>120</v>
      </c>
      <c r="G343" s="19" t="n">
        <v>0</v>
      </c>
      <c r="H343" s="18" t="n">
        <v>960</v>
      </c>
      <c r="I343" s="20"/>
    </row>
    <row r="344" customFormat="false" ht="15" hidden="false" customHeight="false" outlineLevel="0" collapsed="false">
      <c r="A344" s="16" t="n">
        <v>45756</v>
      </c>
      <c r="B344" s="17" t="s">
        <v>437</v>
      </c>
      <c r="C344" s="17" t="s">
        <v>75</v>
      </c>
      <c r="D344" s="17" t="s">
        <v>102</v>
      </c>
      <c r="E344" s="17" t="n">
        <v>3</v>
      </c>
      <c r="F344" s="18" t="n">
        <v>120</v>
      </c>
      <c r="G344" s="19" t="n">
        <v>0</v>
      </c>
      <c r="H344" s="18" t="n">
        <v>360</v>
      </c>
      <c r="I344" s="20"/>
    </row>
    <row r="345" customFormat="false" ht="15" hidden="false" customHeight="false" outlineLevel="0" collapsed="false">
      <c r="A345" s="16" t="n">
        <v>45756</v>
      </c>
      <c r="B345" s="17" t="s">
        <v>438</v>
      </c>
      <c r="C345" s="17" t="s">
        <v>81</v>
      </c>
      <c r="D345" s="17" t="s">
        <v>102</v>
      </c>
      <c r="E345" s="17" t="n">
        <v>3</v>
      </c>
      <c r="F345" s="18" t="n">
        <v>60</v>
      </c>
      <c r="G345" s="19" t="n">
        <v>0</v>
      </c>
      <c r="H345" s="18" t="n">
        <v>180</v>
      </c>
      <c r="I345" s="20"/>
    </row>
    <row r="346" customFormat="false" ht="15" hidden="false" customHeight="false" outlineLevel="0" collapsed="false">
      <c r="A346" s="16" t="n">
        <v>45757</v>
      </c>
      <c r="B346" s="17" t="s">
        <v>439</v>
      </c>
      <c r="C346" s="17" t="s">
        <v>73</v>
      </c>
      <c r="D346" s="17" t="s">
        <v>96</v>
      </c>
      <c r="E346" s="17" t="n">
        <v>9</v>
      </c>
      <c r="F346" s="18" t="n">
        <v>1450</v>
      </c>
      <c r="G346" s="19" t="n">
        <v>0.05</v>
      </c>
      <c r="H346" s="18" t="n">
        <v>12397.5</v>
      </c>
      <c r="I346" s="20"/>
    </row>
    <row r="347" customFormat="false" ht="15" hidden="false" customHeight="false" outlineLevel="0" collapsed="false">
      <c r="A347" s="16" t="n">
        <v>45757</v>
      </c>
      <c r="B347" s="17" t="s">
        <v>440</v>
      </c>
      <c r="C347" s="17" t="s">
        <v>75</v>
      </c>
      <c r="D347" s="17" t="s">
        <v>92</v>
      </c>
      <c r="E347" s="17" t="n">
        <v>5</v>
      </c>
      <c r="F347" s="18" t="n">
        <v>120</v>
      </c>
      <c r="G347" s="19" t="n">
        <v>0</v>
      </c>
      <c r="H347" s="18" t="n">
        <v>600</v>
      </c>
      <c r="I347" s="20"/>
    </row>
    <row r="348" customFormat="false" ht="15" hidden="false" customHeight="false" outlineLevel="0" collapsed="false">
      <c r="A348" s="16" t="n">
        <v>45757</v>
      </c>
      <c r="B348" s="17" t="s">
        <v>441</v>
      </c>
      <c r="C348" s="17" t="s">
        <v>78</v>
      </c>
      <c r="D348" s="17" t="s">
        <v>98</v>
      </c>
      <c r="E348" s="17" t="n">
        <v>3</v>
      </c>
      <c r="F348" s="18" t="n">
        <v>95</v>
      </c>
      <c r="G348" s="19" t="n">
        <v>0</v>
      </c>
      <c r="H348" s="18" t="n">
        <v>285</v>
      </c>
      <c r="I348" s="20"/>
    </row>
    <row r="349" customFormat="false" ht="15" hidden="false" customHeight="false" outlineLevel="0" collapsed="false">
      <c r="A349" s="16" t="n">
        <v>45757</v>
      </c>
      <c r="B349" s="17" t="s">
        <v>442</v>
      </c>
      <c r="C349" s="17" t="s">
        <v>78</v>
      </c>
      <c r="D349" s="17" t="s">
        <v>96</v>
      </c>
      <c r="E349" s="17" t="n">
        <v>1</v>
      </c>
      <c r="F349" s="18" t="n">
        <v>95</v>
      </c>
      <c r="G349" s="19" t="n">
        <v>0.05</v>
      </c>
      <c r="H349" s="18" t="n">
        <v>90.25</v>
      </c>
      <c r="I349" s="20"/>
    </row>
    <row r="350" customFormat="false" ht="15" hidden="false" customHeight="false" outlineLevel="0" collapsed="false">
      <c r="A350" s="16" t="n">
        <v>45757</v>
      </c>
      <c r="B350" s="17" t="s">
        <v>443</v>
      </c>
      <c r="C350" s="17" t="s">
        <v>78</v>
      </c>
      <c r="D350" s="17" t="s">
        <v>92</v>
      </c>
      <c r="E350" s="17" t="n">
        <v>11</v>
      </c>
      <c r="F350" s="18" t="n">
        <v>95</v>
      </c>
      <c r="G350" s="19" t="n">
        <v>0</v>
      </c>
      <c r="H350" s="18" t="n">
        <v>1045</v>
      </c>
      <c r="I350" s="20"/>
    </row>
    <row r="351" customFormat="false" ht="15" hidden="false" customHeight="false" outlineLevel="0" collapsed="false">
      <c r="A351" s="16" t="n">
        <v>45757</v>
      </c>
      <c r="B351" s="17" t="s">
        <v>444</v>
      </c>
      <c r="C351" s="17" t="s">
        <v>73</v>
      </c>
      <c r="D351" s="17" t="s">
        <v>96</v>
      </c>
      <c r="E351" s="17" t="n">
        <v>9</v>
      </c>
      <c r="F351" s="18" t="n">
        <v>1450</v>
      </c>
      <c r="G351" s="19" t="n">
        <v>0</v>
      </c>
      <c r="H351" s="18" t="n">
        <v>13050</v>
      </c>
      <c r="I351" s="20"/>
    </row>
    <row r="352" customFormat="false" ht="15" hidden="false" customHeight="false" outlineLevel="0" collapsed="false">
      <c r="A352" s="16" t="n">
        <v>45757</v>
      </c>
      <c r="B352" s="17" t="s">
        <v>445</v>
      </c>
      <c r="C352" s="17" t="s">
        <v>75</v>
      </c>
      <c r="D352" s="17" t="s">
        <v>96</v>
      </c>
      <c r="E352" s="17" t="n">
        <v>15</v>
      </c>
      <c r="F352" s="18" t="n">
        <v>120</v>
      </c>
      <c r="G352" s="19" t="n">
        <v>0.05</v>
      </c>
      <c r="H352" s="18" t="n">
        <v>1710</v>
      </c>
      <c r="I352" s="20"/>
    </row>
    <row r="353" customFormat="false" ht="15" hidden="false" customHeight="false" outlineLevel="0" collapsed="false">
      <c r="A353" s="16" t="n">
        <v>45760</v>
      </c>
      <c r="B353" s="17" t="s">
        <v>446</v>
      </c>
      <c r="C353" s="17" t="s">
        <v>73</v>
      </c>
      <c r="D353" s="17" t="s">
        <v>102</v>
      </c>
      <c r="E353" s="17" t="n">
        <v>7</v>
      </c>
      <c r="F353" s="18" t="n">
        <v>1450</v>
      </c>
      <c r="G353" s="19" t="n">
        <v>0.1</v>
      </c>
      <c r="H353" s="18" t="n">
        <v>9135</v>
      </c>
      <c r="I353" s="20"/>
    </row>
    <row r="354" customFormat="false" ht="15" hidden="false" customHeight="false" outlineLevel="0" collapsed="false">
      <c r="A354" s="16" t="n">
        <v>45760</v>
      </c>
      <c r="B354" s="17" t="s">
        <v>447</v>
      </c>
      <c r="C354" s="17" t="s">
        <v>70</v>
      </c>
      <c r="D354" s="17" t="s">
        <v>92</v>
      </c>
      <c r="E354" s="17" t="n">
        <v>6</v>
      </c>
      <c r="F354" s="18" t="n">
        <v>850</v>
      </c>
      <c r="G354" s="19" t="n">
        <v>0.05</v>
      </c>
      <c r="H354" s="18" t="n">
        <v>4845</v>
      </c>
      <c r="I354" s="20"/>
    </row>
    <row r="355" customFormat="false" ht="15" hidden="false" customHeight="false" outlineLevel="0" collapsed="false">
      <c r="A355" s="16" t="n">
        <v>45760</v>
      </c>
      <c r="B355" s="17" t="s">
        <v>448</v>
      </c>
      <c r="C355" s="17" t="s">
        <v>73</v>
      </c>
      <c r="D355" s="17" t="s">
        <v>92</v>
      </c>
      <c r="E355" s="17" t="n">
        <v>12</v>
      </c>
      <c r="F355" s="18" t="n">
        <v>1450</v>
      </c>
      <c r="G355" s="19" t="n">
        <v>0</v>
      </c>
      <c r="H355" s="18" t="n">
        <v>17400</v>
      </c>
      <c r="I355" s="20"/>
    </row>
    <row r="356" customFormat="false" ht="15" hidden="false" customHeight="false" outlineLevel="0" collapsed="false">
      <c r="A356" s="16" t="n">
        <v>45761</v>
      </c>
      <c r="B356" s="17" t="s">
        <v>449</v>
      </c>
      <c r="C356" s="17" t="s">
        <v>78</v>
      </c>
      <c r="D356" s="17" t="s">
        <v>92</v>
      </c>
      <c r="E356" s="17" t="n">
        <v>2</v>
      </c>
      <c r="F356" s="18" t="n">
        <v>95</v>
      </c>
      <c r="G356" s="19" t="n">
        <v>0.1</v>
      </c>
      <c r="H356" s="18" t="n">
        <v>171</v>
      </c>
      <c r="I356" s="20"/>
    </row>
    <row r="357" customFormat="false" ht="15" hidden="false" customHeight="false" outlineLevel="0" collapsed="false">
      <c r="A357" s="16" t="n">
        <v>45761</v>
      </c>
      <c r="B357" s="17" t="s">
        <v>450</v>
      </c>
      <c r="C357" s="17" t="s">
        <v>78</v>
      </c>
      <c r="D357" s="17" t="s">
        <v>102</v>
      </c>
      <c r="E357" s="17" t="n">
        <v>3</v>
      </c>
      <c r="F357" s="18" t="n">
        <v>95</v>
      </c>
      <c r="G357" s="19" t="n">
        <v>0</v>
      </c>
      <c r="H357" s="18" t="n">
        <v>285</v>
      </c>
      <c r="I357" s="20"/>
    </row>
    <row r="358" customFormat="false" ht="15" hidden="false" customHeight="false" outlineLevel="0" collapsed="false">
      <c r="A358" s="16" t="n">
        <v>45761</v>
      </c>
      <c r="B358" s="17" t="s">
        <v>451</v>
      </c>
      <c r="C358" s="17" t="s">
        <v>75</v>
      </c>
      <c r="D358" s="17" t="s">
        <v>96</v>
      </c>
      <c r="E358" s="17" t="n">
        <v>3</v>
      </c>
      <c r="F358" s="18" t="n">
        <v>120</v>
      </c>
      <c r="G358" s="19" t="n">
        <v>0</v>
      </c>
      <c r="H358" s="18" t="n">
        <v>360</v>
      </c>
      <c r="I358" s="20"/>
    </row>
    <row r="359" customFormat="false" ht="15" hidden="false" customHeight="false" outlineLevel="0" collapsed="false">
      <c r="A359" s="16" t="n">
        <v>45762</v>
      </c>
      <c r="B359" s="17" t="s">
        <v>452</v>
      </c>
      <c r="C359" s="17" t="s">
        <v>73</v>
      </c>
      <c r="D359" s="17" t="s">
        <v>102</v>
      </c>
      <c r="E359" s="17" t="n">
        <v>8</v>
      </c>
      <c r="F359" s="18" t="n">
        <v>1450</v>
      </c>
      <c r="G359" s="19" t="n">
        <v>0</v>
      </c>
      <c r="H359" s="18" t="n">
        <v>11600</v>
      </c>
      <c r="I359" s="20"/>
    </row>
    <row r="360" customFormat="false" ht="15" hidden="false" customHeight="false" outlineLevel="0" collapsed="false">
      <c r="A360" s="16" t="n">
        <v>45762</v>
      </c>
      <c r="B360" s="17" t="s">
        <v>453</v>
      </c>
      <c r="C360" s="17" t="s">
        <v>70</v>
      </c>
      <c r="D360" s="17" t="s">
        <v>98</v>
      </c>
      <c r="E360" s="17" t="n">
        <v>7</v>
      </c>
      <c r="F360" s="18" t="n">
        <v>850</v>
      </c>
      <c r="G360" s="19" t="n">
        <v>0.1</v>
      </c>
      <c r="H360" s="18" t="n">
        <v>5355</v>
      </c>
      <c r="I360" s="20"/>
    </row>
    <row r="361" customFormat="false" ht="15" hidden="false" customHeight="false" outlineLevel="0" collapsed="false">
      <c r="A361" s="16" t="n">
        <v>45762</v>
      </c>
      <c r="B361" s="17" t="s">
        <v>454</v>
      </c>
      <c r="C361" s="17" t="s">
        <v>70</v>
      </c>
      <c r="D361" s="17" t="s">
        <v>102</v>
      </c>
      <c r="E361" s="17" t="n">
        <v>7</v>
      </c>
      <c r="F361" s="18" t="n">
        <v>850</v>
      </c>
      <c r="G361" s="19" t="n">
        <v>0</v>
      </c>
      <c r="H361" s="18" t="n">
        <v>5950</v>
      </c>
      <c r="I361" s="20"/>
    </row>
    <row r="362" customFormat="false" ht="15" hidden="false" customHeight="false" outlineLevel="0" collapsed="false">
      <c r="A362" s="16" t="n">
        <v>45762</v>
      </c>
      <c r="B362" s="17" t="s">
        <v>455</v>
      </c>
      <c r="C362" s="17" t="s">
        <v>81</v>
      </c>
      <c r="D362" s="17" t="s">
        <v>98</v>
      </c>
      <c r="E362" s="17" t="n">
        <v>2</v>
      </c>
      <c r="F362" s="18" t="n">
        <v>60</v>
      </c>
      <c r="G362" s="19" t="n">
        <v>0</v>
      </c>
      <c r="H362" s="18" t="n">
        <v>120</v>
      </c>
      <c r="I362" s="20"/>
    </row>
    <row r="363" customFormat="false" ht="15" hidden="false" customHeight="false" outlineLevel="0" collapsed="false">
      <c r="A363" s="16" t="n">
        <v>45763</v>
      </c>
      <c r="B363" s="17" t="s">
        <v>456</v>
      </c>
      <c r="C363" s="17" t="s">
        <v>73</v>
      </c>
      <c r="D363" s="17" t="s">
        <v>92</v>
      </c>
      <c r="E363" s="17" t="n">
        <v>16</v>
      </c>
      <c r="F363" s="18" t="n">
        <v>1450</v>
      </c>
      <c r="G363" s="19" t="n">
        <v>0.05</v>
      </c>
      <c r="H363" s="18" t="n">
        <v>22040</v>
      </c>
      <c r="I363" s="20"/>
    </row>
    <row r="364" customFormat="false" ht="15" hidden="false" customHeight="false" outlineLevel="0" collapsed="false">
      <c r="A364" s="16" t="n">
        <v>45763</v>
      </c>
      <c r="B364" s="17" t="s">
        <v>457</v>
      </c>
      <c r="C364" s="17" t="s">
        <v>73</v>
      </c>
      <c r="D364" s="17" t="s">
        <v>102</v>
      </c>
      <c r="E364" s="17" t="n">
        <v>8</v>
      </c>
      <c r="F364" s="18" t="n">
        <v>1450</v>
      </c>
      <c r="G364" s="19" t="n">
        <v>0</v>
      </c>
      <c r="H364" s="18" t="n">
        <v>11600</v>
      </c>
      <c r="I364" s="20"/>
    </row>
    <row r="365" customFormat="false" ht="15" hidden="false" customHeight="false" outlineLevel="0" collapsed="false">
      <c r="A365" s="16" t="n">
        <v>45763</v>
      </c>
      <c r="B365" s="17" t="s">
        <v>458</v>
      </c>
      <c r="C365" s="17" t="s">
        <v>70</v>
      </c>
      <c r="D365" s="17" t="s">
        <v>98</v>
      </c>
      <c r="E365" s="17" t="n">
        <v>11</v>
      </c>
      <c r="F365" s="18" t="n">
        <v>850</v>
      </c>
      <c r="G365" s="19" t="n">
        <v>0.05</v>
      </c>
      <c r="H365" s="18" t="n">
        <v>8882.5</v>
      </c>
      <c r="I365" s="20"/>
    </row>
    <row r="366" customFormat="false" ht="15" hidden="false" customHeight="false" outlineLevel="0" collapsed="false">
      <c r="A366" s="16" t="n">
        <v>45763</v>
      </c>
      <c r="B366" s="17" t="s">
        <v>459</v>
      </c>
      <c r="C366" s="17" t="s">
        <v>81</v>
      </c>
      <c r="D366" s="17" t="s">
        <v>96</v>
      </c>
      <c r="E366" s="17" t="n">
        <v>15</v>
      </c>
      <c r="F366" s="18" t="n">
        <v>60</v>
      </c>
      <c r="G366" s="19" t="n">
        <v>0.05</v>
      </c>
      <c r="H366" s="18" t="n">
        <v>855</v>
      </c>
      <c r="I366" s="20"/>
    </row>
    <row r="367" customFormat="false" ht="15" hidden="false" customHeight="false" outlineLevel="0" collapsed="false">
      <c r="A367" s="16" t="n">
        <v>45764</v>
      </c>
      <c r="B367" s="17" t="s">
        <v>460</v>
      </c>
      <c r="C367" s="17" t="s">
        <v>78</v>
      </c>
      <c r="D367" s="17" t="s">
        <v>98</v>
      </c>
      <c r="E367" s="17" t="n">
        <v>11</v>
      </c>
      <c r="F367" s="18" t="n">
        <v>95</v>
      </c>
      <c r="G367" s="19" t="n">
        <v>0.1</v>
      </c>
      <c r="H367" s="18" t="n">
        <v>940.5</v>
      </c>
      <c r="I367" s="20"/>
    </row>
    <row r="368" customFormat="false" ht="15" hidden="false" customHeight="false" outlineLevel="0" collapsed="false">
      <c r="A368" s="16" t="n">
        <v>45764</v>
      </c>
      <c r="B368" s="17" t="s">
        <v>461</v>
      </c>
      <c r="C368" s="17" t="s">
        <v>81</v>
      </c>
      <c r="D368" s="17" t="s">
        <v>96</v>
      </c>
      <c r="E368" s="17" t="n">
        <v>14</v>
      </c>
      <c r="F368" s="18" t="n">
        <v>60</v>
      </c>
      <c r="G368" s="19" t="n">
        <v>0</v>
      </c>
      <c r="H368" s="18" t="n">
        <v>840</v>
      </c>
      <c r="I368" s="20"/>
    </row>
    <row r="369" customFormat="false" ht="15" hidden="false" customHeight="false" outlineLevel="0" collapsed="false">
      <c r="A369" s="16" t="n">
        <v>45764</v>
      </c>
      <c r="B369" s="17" t="s">
        <v>462</v>
      </c>
      <c r="C369" s="17" t="s">
        <v>73</v>
      </c>
      <c r="D369" s="17" t="s">
        <v>102</v>
      </c>
      <c r="E369" s="17" t="n">
        <v>8</v>
      </c>
      <c r="F369" s="18" t="n">
        <v>1450</v>
      </c>
      <c r="G369" s="19" t="n">
        <v>0</v>
      </c>
      <c r="H369" s="18" t="n">
        <v>11600</v>
      </c>
      <c r="I369" s="20"/>
    </row>
    <row r="370" customFormat="false" ht="15" hidden="false" customHeight="false" outlineLevel="0" collapsed="false">
      <c r="A370" s="16" t="n">
        <v>45764</v>
      </c>
      <c r="B370" s="17" t="s">
        <v>463</v>
      </c>
      <c r="C370" s="17" t="s">
        <v>81</v>
      </c>
      <c r="D370" s="17" t="s">
        <v>92</v>
      </c>
      <c r="E370" s="17" t="n">
        <v>16</v>
      </c>
      <c r="F370" s="18" t="n">
        <v>60</v>
      </c>
      <c r="G370" s="19" t="n">
        <v>0.05</v>
      </c>
      <c r="H370" s="18" t="n">
        <v>912</v>
      </c>
      <c r="I370" s="20"/>
    </row>
    <row r="371" customFormat="false" ht="15" hidden="false" customHeight="false" outlineLevel="0" collapsed="false">
      <c r="A371" s="16" t="n">
        <v>45764</v>
      </c>
      <c r="B371" s="17" t="s">
        <v>464</v>
      </c>
      <c r="C371" s="17" t="s">
        <v>73</v>
      </c>
      <c r="D371" s="17" t="s">
        <v>98</v>
      </c>
      <c r="E371" s="17" t="n">
        <v>10</v>
      </c>
      <c r="F371" s="18" t="n">
        <v>1450</v>
      </c>
      <c r="G371" s="19" t="n">
        <v>0</v>
      </c>
      <c r="H371" s="18" t="n">
        <v>14500</v>
      </c>
      <c r="I371" s="20"/>
    </row>
    <row r="372" customFormat="false" ht="15" hidden="false" customHeight="false" outlineLevel="0" collapsed="false">
      <c r="A372" s="16" t="n">
        <v>45764</v>
      </c>
      <c r="B372" s="17" t="s">
        <v>465</v>
      </c>
      <c r="C372" s="17" t="s">
        <v>73</v>
      </c>
      <c r="D372" s="17" t="s">
        <v>102</v>
      </c>
      <c r="E372" s="17" t="n">
        <v>15</v>
      </c>
      <c r="F372" s="18" t="n">
        <v>1450</v>
      </c>
      <c r="G372" s="19" t="n">
        <v>0</v>
      </c>
      <c r="H372" s="18" t="n">
        <v>21750</v>
      </c>
      <c r="I372" s="20"/>
    </row>
    <row r="373" customFormat="false" ht="15" hidden="false" customHeight="false" outlineLevel="0" collapsed="false">
      <c r="A373" s="16" t="n">
        <v>45764</v>
      </c>
      <c r="B373" s="17" t="s">
        <v>466</v>
      </c>
      <c r="C373" s="17" t="s">
        <v>73</v>
      </c>
      <c r="D373" s="17" t="s">
        <v>92</v>
      </c>
      <c r="E373" s="17" t="n">
        <v>15</v>
      </c>
      <c r="F373" s="18" t="n">
        <v>1450</v>
      </c>
      <c r="G373" s="19" t="n">
        <v>0.05</v>
      </c>
      <c r="H373" s="18" t="n">
        <v>20662.5</v>
      </c>
      <c r="I373" s="20"/>
    </row>
    <row r="374" customFormat="false" ht="15" hidden="false" customHeight="false" outlineLevel="0" collapsed="false">
      <c r="A374" s="16" t="n">
        <v>45764</v>
      </c>
      <c r="B374" s="17" t="s">
        <v>467</v>
      </c>
      <c r="C374" s="17" t="s">
        <v>75</v>
      </c>
      <c r="D374" s="17" t="s">
        <v>96</v>
      </c>
      <c r="E374" s="17" t="n">
        <v>13</v>
      </c>
      <c r="F374" s="18" t="n">
        <v>120</v>
      </c>
      <c r="G374" s="19" t="n">
        <v>0</v>
      </c>
      <c r="H374" s="18" t="n">
        <v>1560</v>
      </c>
      <c r="I374" s="20"/>
    </row>
    <row r="375" customFormat="false" ht="15" hidden="false" customHeight="false" outlineLevel="0" collapsed="false">
      <c r="A375" s="16" t="n">
        <v>45764</v>
      </c>
      <c r="B375" s="17" t="s">
        <v>468</v>
      </c>
      <c r="C375" s="17" t="s">
        <v>78</v>
      </c>
      <c r="D375" s="17" t="s">
        <v>102</v>
      </c>
      <c r="E375" s="17" t="n">
        <v>3</v>
      </c>
      <c r="F375" s="18" t="n">
        <v>95</v>
      </c>
      <c r="G375" s="19" t="n">
        <v>0</v>
      </c>
      <c r="H375" s="18" t="n">
        <v>285</v>
      </c>
      <c r="I375" s="20"/>
    </row>
    <row r="376" customFormat="false" ht="15" hidden="false" customHeight="false" outlineLevel="0" collapsed="false">
      <c r="A376" s="16" t="n">
        <v>45765</v>
      </c>
      <c r="B376" s="17" t="s">
        <v>469</v>
      </c>
      <c r="C376" s="17" t="s">
        <v>70</v>
      </c>
      <c r="D376" s="17" t="s">
        <v>98</v>
      </c>
      <c r="E376" s="17" t="n">
        <v>1</v>
      </c>
      <c r="F376" s="18" t="n">
        <v>850</v>
      </c>
      <c r="G376" s="19" t="n">
        <v>0</v>
      </c>
      <c r="H376" s="18" t="n">
        <v>850</v>
      </c>
      <c r="I376" s="20"/>
    </row>
    <row r="377" customFormat="false" ht="15" hidden="false" customHeight="false" outlineLevel="0" collapsed="false">
      <c r="A377" s="16" t="n">
        <v>45765</v>
      </c>
      <c r="B377" s="17" t="s">
        <v>470</v>
      </c>
      <c r="C377" s="17" t="s">
        <v>78</v>
      </c>
      <c r="D377" s="17" t="s">
        <v>102</v>
      </c>
      <c r="E377" s="17" t="n">
        <v>19</v>
      </c>
      <c r="F377" s="18" t="n">
        <v>95</v>
      </c>
      <c r="G377" s="19" t="n">
        <v>0.05</v>
      </c>
      <c r="H377" s="18" t="n">
        <v>1714.75</v>
      </c>
      <c r="I377" s="20"/>
    </row>
    <row r="378" customFormat="false" ht="15" hidden="false" customHeight="false" outlineLevel="0" collapsed="false">
      <c r="A378" s="16" t="n">
        <v>45765</v>
      </c>
      <c r="B378" s="17" t="s">
        <v>471</v>
      </c>
      <c r="C378" s="17" t="s">
        <v>73</v>
      </c>
      <c r="D378" s="17" t="s">
        <v>92</v>
      </c>
      <c r="E378" s="17" t="n">
        <v>20</v>
      </c>
      <c r="F378" s="18" t="n">
        <v>1450</v>
      </c>
      <c r="G378" s="19" t="n">
        <v>0</v>
      </c>
      <c r="H378" s="18" t="n">
        <v>29000</v>
      </c>
      <c r="I378" s="20"/>
    </row>
    <row r="379" customFormat="false" ht="15" hidden="false" customHeight="false" outlineLevel="0" collapsed="false">
      <c r="A379" s="16" t="n">
        <v>45766</v>
      </c>
      <c r="B379" s="17" t="s">
        <v>472</v>
      </c>
      <c r="C379" s="17" t="s">
        <v>81</v>
      </c>
      <c r="D379" s="17" t="s">
        <v>92</v>
      </c>
      <c r="E379" s="17" t="n">
        <v>6</v>
      </c>
      <c r="F379" s="18" t="n">
        <v>60</v>
      </c>
      <c r="G379" s="19" t="n">
        <v>0</v>
      </c>
      <c r="H379" s="18" t="n">
        <v>360</v>
      </c>
      <c r="I379" s="20"/>
    </row>
    <row r="380" customFormat="false" ht="15" hidden="false" customHeight="false" outlineLevel="0" collapsed="false">
      <c r="A380" s="16" t="n">
        <v>45766</v>
      </c>
      <c r="B380" s="17" t="s">
        <v>473</v>
      </c>
      <c r="C380" s="17" t="s">
        <v>70</v>
      </c>
      <c r="D380" s="17" t="s">
        <v>92</v>
      </c>
      <c r="E380" s="17" t="n">
        <v>20</v>
      </c>
      <c r="F380" s="18" t="n">
        <v>850</v>
      </c>
      <c r="G380" s="19" t="n">
        <v>0</v>
      </c>
      <c r="H380" s="18" t="n">
        <v>17000</v>
      </c>
      <c r="I380" s="20"/>
    </row>
    <row r="381" customFormat="false" ht="15" hidden="false" customHeight="false" outlineLevel="0" collapsed="false">
      <c r="A381" s="16" t="n">
        <v>45766</v>
      </c>
      <c r="B381" s="17" t="s">
        <v>474</v>
      </c>
      <c r="C381" s="17" t="s">
        <v>75</v>
      </c>
      <c r="D381" s="17" t="s">
        <v>96</v>
      </c>
      <c r="E381" s="17" t="n">
        <v>14</v>
      </c>
      <c r="F381" s="18" t="n">
        <v>120</v>
      </c>
      <c r="G381" s="19" t="n">
        <v>0</v>
      </c>
      <c r="H381" s="18" t="n">
        <v>1680</v>
      </c>
      <c r="I381" s="20"/>
    </row>
    <row r="382" customFormat="false" ht="15" hidden="false" customHeight="false" outlineLevel="0" collapsed="false">
      <c r="A382" s="16" t="n">
        <v>45766</v>
      </c>
      <c r="B382" s="17" t="s">
        <v>475</v>
      </c>
      <c r="C382" s="17" t="s">
        <v>70</v>
      </c>
      <c r="D382" s="17" t="s">
        <v>98</v>
      </c>
      <c r="E382" s="17" t="n">
        <v>17</v>
      </c>
      <c r="F382" s="18" t="n">
        <v>850</v>
      </c>
      <c r="G382" s="19" t="n">
        <v>0</v>
      </c>
      <c r="H382" s="18" t="n">
        <v>14450</v>
      </c>
      <c r="I382" s="20"/>
    </row>
    <row r="383" customFormat="false" ht="15" hidden="false" customHeight="false" outlineLevel="0" collapsed="false">
      <c r="A383" s="16" t="n">
        <v>45767</v>
      </c>
      <c r="B383" s="17" t="s">
        <v>476</v>
      </c>
      <c r="C383" s="17" t="s">
        <v>81</v>
      </c>
      <c r="D383" s="17" t="s">
        <v>96</v>
      </c>
      <c r="E383" s="17" t="n">
        <v>20</v>
      </c>
      <c r="F383" s="18" t="n">
        <v>60</v>
      </c>
      <c r="G383" s="19" t="n">
        <v>0.1</v>
      </c>
      <c r="H383" s="18" t="n">
        <v>1080</v>
      </c>
      <c r="I383" s="20"/>
    </row>
    <row r="384" customFormat="false" ht="15" hidden="false" customHeight="false" outlineLevel="0" collapsed="false">
      <c r="A384" s="16" t="n">
        <v>45767</v>
      </c>
      <c r="B384" s="17" t="s">
        <v>477</v>
      </c>
      <c r="C384" s="17" t="s">
        <v>78</v>
      </c>
      <c r="D384" s="17" t="s">
        <v>92</v>
      </c>
      <c r="E384" s="17" t="n">
        <v>15</v>
      </c>
      <c r="F384" s="18" t="n">
        <v>95</v>
      </c>
      <c r="G384" s="19" t="n">
        <v>0.05</v>
      </c>
      <c r="H384" s="18" t="n">
        <v>1353.75</v>
      </c>
      <c r="I384" s="20"/>
    </row>
    <row r="385" customFormat="false" ht="15" hidden="false" customHeight="false" outlineLevel="0" collapsed="false">
      <c r="A385" s="16" t="n">
        <v>45767</v>
      </c>
      <c r="B385" s="17" t="s">
        <v>478</v>
      </c>
      <c r="C385" s="17" t="s">
        <v>75</v>
      </c>
      <c r="D385" s="17" t="s">
        <v>92</v>
      </c>
      <c r="E385" s="17" t="n">
        <v>13</v>
      </c>
      <c r="F385" s="18" t="n">
        <v>120</v>
      </c>
      <c r="G385" s="19" t="n">
        <v>0.1</v>
      </c>
      <c r="H385" s="18" t="n">
        <v>1404</v>
      </c>
      <c r="I385" s="20"/>
    </row>
    <row r="386" customFormat="false" ht="15" hidden="false" customHeight="false" outlineLevel="0" collapsed="false">
      <c r="A386" s="16" t="n">
        <v>45768</v>
      </c>
      <c r="B386" s="17" t="s">
        <v>479</v>
      </c>
      <c r="C386" s="17" t="s">
        <v>81</v>
      </c>
      <c r="D386" s="17" t="s">
        <v>96</v>
      </c>
      <c r="E386" s="17" t="n">
        <v>5</v>
      </c>
      <c r="F386" s="18" t="n">
        <v>60</v>
      </c>
      <c r="G386" s="19" t="n">
        <v>0</v>
      </c>
      <c r="H386" s="18" t="n">
        <v>300</v>
      </c>
      <c r="I386" s="20"/>
    </row>
    <row r="387" customFormat="false" ht="15" hidden="false" customHeight="false" outlineLevel="0" collapsed="false">
      <c r="A387" s="16" t="n">
        <v>45768</v>
      </c>
      <c r="B387" s="17" t="s">
        <v>480</v>
      </c>
      <c r="C387" s="17" t="s">
        <v>70</v>
      </c>
      <c r="D387" s="17" t="s">
        <v>98</v>
      </c>
      <c r="E387" s="17" t="n">
        <v>6</v>
      </c>
      <c r="F387" s="18" t="n">
        <v>850</v>
      </c>
      <c r="G387" s="19" t="n">
        <v>0</v>
      </c>
      <c r="H387" s="18" t="n">
        <v>5100</v>
      </c>
      <c r="I387" s="20"/>
    </row>
    <row r="388" customFormat="false" ht="15" hidden="false" customHeight="false" outlineLevel="0" collapsed="false">
      <c r="A388" s="16" t="n">
        <v>45768</v>
      </c>
      <c r="B388" s="17" t="s">
        <v>481</v>
      </c>
      <c r="C388" s="17" t="s">
        <v>70</v>
      </c>
      <c r="D388" s="17" t="s">
        <v>102</v>
      </c>
      <c r="E388" s="17" t="n">
        <v>5</v>
      </c>
      <c r="F388" s="18" t="n">
        <v>850</v>
      </c>
      <c r="G388" s="19" t="n">
        <v>0</v>
      </c>
      <c r="H388" s="18" t="n">
        <v>4250</v>
      </c>
      <c r="I388" s="20"/>
    </row>
    <row r="389" customFormat="false" ht="15" hidden="false" customHeight="false" outlineLevel="0" collapsed="false">
      <c r="A389" s="16" t="n">
        <v>45769</v>
      </c>
      <c r="B389" s="17" t="s">
        <v>482</v>
      </c>
      <c r="C389" s="17" t="s">
        <v>75</v>
      </c>
      <c r="D389" s="17" t="s">
        <v>102</v>
      </c>
      <c r="E389" s="17" t="n">
        <v>6</v>
      </c>
      <c r="F389" s="18" t="n">
        <v>120</v>
      </c>
      <c r="G389" s="19" t="n">
        <v>0.1</v>
      </c>
      <c r="H389" s="18" t="n">
        <v>648</v>
      </c>
      <c r="I389" s="20"/>
    </row>
    <row r="390" customFormat="false" ht="15" hidden="false" customHeight="false" outlineLevel="0" collapsed="false">
      <c r="A390" s="16" t="n">
        <v>45770</v>
      </c>
      <c r="B390" s="17" t="s">
        <v>483</v>
      </c>
      <c r="C390" s="17" t="s">
        <v>78</v>
      </c>
      <c r="D390" s="17" t="s">
        <v>102</v>
      </c>
      <c r="E390" s="17" t="n">
        <v>2</v>
      </c>
      <c r="F390" s="18" t="n">
        <v>95</v>
      </c>
      <c r="G390" s="19" t="n">
        <v>0</v>
      </c>
      <c r="H390" s="18" t="n">
        <v>190</v>
      </c>
      <c r="I390" s="20"/>
    </row>
    <row r="391" customFormat="false" ht="15" hidden="false" customHeight="false" outlineLevel="0" collapsed="false">
      <c r="A391" s="16" t="n">
        <v>45770</v>
      </c>
      <c r="B391" s="17" t="s">
        <v>484</v>
      </c>
      <c r="C391" s="17" t="s">
        <v>75</v>
      </c>
      <c r="D391" s="17" t="s">
        <v>92</v>
      </c>
      <c r="E391" s="17" t="n">
        <v>4</v>
      </c>
      <c r="F391" s="18" t="n">
        <v>120</v>
      </c>
      <c r="G391" s="19" t="n">
        <v>0</v>
      </c>
      <c r="H391" s="18" t="n">
        <v>480</v>
      </c>
      <c r="I391" s="20"/>
    </row>
    <row r="392" customFormat="false" ht="15" hidden="false" customHeight="false" outlineLevel="0" collapsed="false">
      <c r="A392" s="16" t="n">
        <v>45771</v>
      </c>
      <c r="B392" s="17" t="s">
        <v>485</v>
      </c>
      <c r="C392" s="17" t="s">
        <v>81</v>
      </c>
      <c r="D392" s="17" t="s">
        <v>98</v>
      </c>
      <c r="E392" s="17" t="n">
        <v>16</v>
      </c>
      <c r="F392" s="18" t="n">
        <v>60</v>
      </c>
      <c r="G392" s="19" t="n">
        <v>0</v>
      </c>
      <c r="H392" s="18" t="n">
        <v>960</v>
      </c>
      <c r="I392" s="20"/>
    </row>
    <row r="393" customFormat="false" ht="15" hidden="false" customHeight="false" outlineLevel="0" collapsed="false">
      <c r="A393" s="16" t="n">
        <v>45771</v>
      </c>
      <c r="B393" s="17" t="s">
        <v>486</v>
      </c>
      <c r="C393" s="17" t="s">
        <v>81</v>
      </c>
      <c r="D393" s="17" t="s">
        <v>92</v>
      </c>
      <c r="E393" s="17" t="n">
        <v>1</v>
      </c>
      <c r="F393" s="18" t="n">
        <v>60</v>
      </c>
      <c r="G393" s="19" t="n">
        <v>0</v>
      </c>
      <c r="H393" s="18" t="n">
        <v>60</v>
      </c>
      <c r="I393" s="20"/>
    </row>
    <row r="394" customFormat="false" ht="15" hidden="false" customHeight="false" outlineLevel="0" collapsed="false">
      <c r="A394" s="16" t="n">
        <v>45771</v>
      </c>
      <c r="B394" s="17" t="s">
        <v>487</v>
      </c>
      <c r="C394" s="17" t="s">
        <v>73</v>
      </c>
      <c r="D394" s="17" t="s">
        <v>92</v>
      </c>
      <c r="E394" s="17" t="n">
        <v>7</v>
      </c>
      <c r="F394" s="18" t="n">
        <v>1450</v>
      </c>
      <c r="G394" s="19" t="n">
        <v>0.05</v>
      </c>
      <c r="H394" s="18" t="n">
        <v>9642.5</v>
      </c>
      <c r="I394" s="20"/>
    </row>
    <row r="395" customFormat="false" ht="15" hidden="false" customHeight="false" outlineLevel="0" collapsed="false">
      <c r="A395" s="16" t="n">
        <v>45771</v>
      </c>
      <c r="B395" s="17" t="s">
        <v>488</v>
      </c>
      <c r="C395" s="17" t="s">
        <v>70</v>
      </c>
      <c r="D395" s="17" t="s">
        <v>96</v>
      </c>
      <c r="E395" s="17" t="n">
        <v>14</v>
      </c>
      <c r="F395" s="18" t="n">
        <v>850</v>
      </c>
      <c r="G395" s="19" t="n">
        <v>0</v>
      </c>
      <c r="H395" s="18" t="n">
        <v>11900</v>
      </c>
      <c r="I395" s="20"/>
    </row>
    <row r="396" customFormat="false" ht="15" hidden="false" customHeight="false" outlineLevel="0" collapsed="false">
      <c r="A396" s="16" t="n">
        <v>45772</v>
      </c>
      <c r="B396" s="17" t="s">
        <v>489</v>
      </c>
      <c r="C396" s="17" t="s">
        <v>78</v>
      </c>
      <c r="D396" s="17" t="s">
        <v>92</v>
      </c>
      <c r="E396" s="17" t="n">
        <v>9</v>
      </c>
      <c r="F396" s="18" t="n">
        <v>95</v>
      </c>
      <c r="G396" s="19" t="n">
        <v>0.05</v>
      </c>
      <c r="H396" s="18" t="n">
        <v>812.25</v>
      </c>
      <c r="I396" s="20"/>
    </row>
    <row r="397" customFormat="false" ht="15" hidden="false" customHeight="false" outlineLevel="0" collapsed="false">
      <c r="A397" s="16" t="n">
        <v>45772</v>
      </c>
      <c r="B397" s="17" t="s">
        <v>490</v>
      </c>
      <c r="C397" s="17" t="s">
        <v>81</v>
      </c>
      <c r="D397" s="17" t="s">
        <v>102</v>
      </c>
      <c r="E397" s="17" t="n">
        <v>5</v>
      </c>
      <c r="F397" s="18" t="n">
        <v>60</v>
      </c>
      <c r="G397" s="19" t="n">
        <v>0</v>
      </c>
      <c r="H397" s="18" t="n">
        <v>300</v>
      </c>
      <c r="I397" s="20"/>
    </row>
    <row r="398" customFormat="false" ht="15" hidden="false" customHeight="false" outlineLevel="0" collapsed="false">
      <c r="A398" s="16" t="n">
        <v>45772</v>
      </c>
      <c r="B398" s="17" t="s">
        <v>491</v>
      </c>
      <c r="C398" s="17" t="s">
        <v>75</v>
      </c>
      <c r="D398" s="17" t="s">
        <v>102</v>
      </c>
      <c r="E398" s="17" t="n">
        <v>8</v>
      </c>
      <c r="F398" s="18" t="n">
        <v>120</v>
      </c>
      <c r="G398" s="19" t="n">
        <v>0</v>
      </c>
      <c r="H398" s="18" t="n">
        <v>960</v>
      </c>
      <c r="I398" s="20"/>
    </row>
    <row r="399" customFormat="false" ht="15" hidden="false" customHeight="false" outlineLevel="0" collapsed="false">
      <c r="A399" s="16" t="n">
        <v>45772</v>
      </c>
      <c r="B399" s="17" t="s">
        <v>492</v>
      </c>
      <c r="C399" s="17" t="s">
        <v>70</v>
      </c>
      <c r="D399" s="17" t="s">
        <v>98</v>
      </c>
      <c r="E399" s="17" t="n">
        <v>11</v>
      </c>
      <c r="F399" s="18" t="n">
        <v>850</v>
      </c>
      <c r="G399" s="19" t="n">
        <v>0</v>
      </c>
      <c r="H399" s="18" t="n">
        <v>9350</v>
      </c>
      <c r="I399" s="20"/>
    </row>
    <row r="400" customFormat="false" ht="15" hidden="false" customHeight="false" outlineLevel="0" collapsed="false">
      <c r="A400" s="16" t="n">
        <v>45773</v>
      </c>
      <c r="B400" s="17" t="s">
        <v>493</v>
      </c>
      <c r="C400" s="17" t="s">
        <v>81</v>
      </c>
      <c r="D400" s="17" t="s">
        <v>102</v>
      </c>
      <c r="E400" s="17" t="n">
        <v>2</v>
      </c>
      <c r="F400" s="18" t="n">
        <v>60</v>
      </c>
      <c r="G400" s="19" t="n">
        <v>0.1</v>
      </c>
      <c r="H400" s="18" t="n">
        <v>108</v>
      </c>
      <c r="I400" s="20"/>
    </row>
    <row r="401" customFormat="false" ht="15" hidden="false" customHeight="false" outlineLevel="0" collapsed="false">
      <c r="A401" s="16" t="n">
        <v>45773</v>
      </c>
      <c r="B401" s="17" t="s">
        <v>494</v>
      </c>
      <c r="C401" s="17" t="s">
        <v>70</v>
      </c>
      <c r="D401" s="17" t="s">
        <v>92</v>
      </c>
      <c r="E401" s="17" t="n">
        <v>7</v>
      </c>
      <c r="F401" s="18" t="n">
        <v>850</v>
      </c>
      <c r="G401" s="19" t="n">
        <v>0</v>
      </c>
      <c r="H401" s="18" t="n">
        <v>5950</v>
      </c>
      <c r="I401" s="20"/>
    </row>
    <row r="402" customFormat="false" ht="15" hidden="false" customHeight="false" outlineLevel="0" collapsed="false">
      <c r="A402" s="16" t="n">
        <v>45773</v>
      </c>
      <c r="B402" s="17" t="s">
        <v>495</v>
      </c>
      <c r="C402" s="17" t="s">
        <v>78</v>
      </c>
      <c r="D402" s="17" t="s">
        <v>92</v>
      </c>
      <c r="E402" s="17" t="n">
        <v>18</v>
      </c>
      <c r="F402" s="18" t="n">
        <v>95</v>
      </c>
      <c r="G402" s="19" t="n">
        <v>0</v>
      </c>
      <c r="H402" s="18" t="n">
        <v>1710</v>
      </c>
      <c r="I402" s="20"/>
    </row>
    <row r="403" customFormat="false" ht="15" hidden="false" customHeight="false" outlineLevel="0" collapsed="false">
      <c r="A403" s="16" t="n">
        <v>45773</v>
      </c>
      <c r="B403" s="17" t="s">
        <v>496</v>
      </c>
      <c r="C403" s="17" t="s">
        <v>81</v>
      </c>
      <c r="D403" s="17" t="s">
        <v>92</v>
      </c>
      <c r="E403" s="17" t="n">
        <v>7</v>
      </c>
      <c r="F403" s="18" t="n">
        <v>60</v>
      </c>
      <c r="G403" s="19" t="n">
        <v>0</v>
      </c>
      <c r="H403" s="18" t="n">
        <v>420</v>
      </c>
      <c r="I403" s="20"/>
    </row>
    <row r="404" customFormat="false" ht="15" hidden="false" customHeight="false" outlineLevel="0" collapsed="false">
      <c r="A404" s="16" t="n">
        <v>45773</v>
      </c>
      <c r="B404" s="17" t="s">
        <v>497</v>
      </c>
      <c r="C404" s="17" t="s">
        <v>73</v>
      </c>
      <c r="D404" s="17" t="s">
        <v>98</v>
      </c>
      <c r="E404" s="17" t="n">
        <v>4</v>
      </c>
      <c r="F404" s="18" t="n">
        <v>1450</v>
      </c>
      <c r="G404" s="19" t="n">
        <v>0</v>
      </c>
      <c r="H404" s="18" t="n">
        <v>5800</v>
      </c>
      <c r="I404" s="20"/>
    </row>
    <row r="405" customFormat="false" ht="15" hidden="false" customHeight="false" outlineLevel="0" collapsed="false">
      <c r="A405" s="16" t="n">
        <v>45774</v>
      </c>
      <c r="B405" s="17" t="s">
        <v>498</v>
      </c>
      <c r="C405" s="17" t="s">
        <v>78</v>
      </c>
      <c r="D405" s="17" t="s">
        <v>98</v>
      </c>
      <c r="E405" s="17" t="n">
        <v>18</v>
      </c>
      <c r="F405" s="18" t="n">
        <v>95</v>
      </c>
      <c r="G405" s="19" t="n">
        <v>0.05</v>
      </c>
      <c r="H405" s="18" t="n">
        <v>1624.5</v>
      </c>
      <c r="I405" s="20"/>
    </row>
    <row r="406" customFormat="false" ht="15" hidden="false" customHeight="false" outlineLevel="0" collapsed="false">
      <c r="A406" s="16" t="n">
        <v>45774</v>
      </c>
      <c r="B406" s="17" t="s">
        <v>499</v>
      </c>
      <c r="C406" s="17" t="s">
        <v>78</v>
      </c>
      <c r="D406" s="17" t="s">
        <v>96</v>
      </c>
      <c r="E406" s="17" t="n">
        <v>11</v>
      </c>
      <c r="F406" s="18" t="n">
        <v>95</v>
      </c>
      <c r="G406" s="19" t="n">
        <v>0</v>
      </c>
      <c r="H406" s="18" t="n">
        <v>1045</v>
      </c>
      <c r="I406" s="20"/>
    </row>
    <row r="407" customFormat="false" ht="15" hidden="false" customHeight="false" outlineLevel="0" collapsed="false">
      <c r="A407" s="16" t="n">
        <v>45774</v>
      </c>
      <c r="B407" s="17" t="s">
        <v>500</v>
      </c>
      <c r="C407" s="17" t="s">
        <v>73</v>
      </c>
      <c r="D407" s="17" t="s">
        <v>96</v>
      </c>
      <c r="E407" s="17" t="n">
        <v>16</v>
      </c>
      <c r="F407" s="18" t="n">
        <v>1450</v>
      </c>
      <c r="G407" s="19" t="n">
        <v>0</v>
      </c>
      <c r="H407" s="18" t="n">
        <v>23200</v>
      </c>
      <c r="I407" s="20"/>
    </row>
    <row r="408" customFormat="false" ht="15" hidden="false" customHeight="false" outlineLevel="0" collapsed="false">
      <c r="A408" s="16" t="n">
        <v>45774</v>
      </c>
      <c r="B408" s="17" t="s">
        <v>501</v>
      </c>
      <c r="C408" s="17" t="s">
        <v>81</v>
      </c>
      <c r="D408" s="17" t="s">
        <v>92</v>
      </c>
      <c r="E408" s="17" t="n">
        <v>20</v>
      </c>
      <c r="F408" s="18" t="n">
        <v>60</v>
      </c>
      <c r="G408" s="19" t="n">
        <v>0.1</v>
      </c>
      <c r="H408" s="18" t="n">
        <v>1080</v>
      </c>
      <c r="I408" s="20"/>
    </row>
    <row r="409" customFormat="false" ht="15" hidden="false" customHeight="false" outlineLevel="0" collapsed="false">
      <c r="A409" s="16" t="n">
        <v>45774</v>
      </c>
      <c r="B409" s="17" t="s">
        <v>502</v>
      </c>
      <c r="C409" s="17" t="s">
        <v>75</v>
      </c>
      <c r="D409" s="17" t="s">
        <v>102</v>
      </c>
      <c r="E409" s="17" t="n">
        <v>11</v>
      </c>
      <c r="F409" s="18" t="n">
        <v>120</v>
      </c>
      <c r="G409" s="19" t="n">
        <v>0</v>
      </c>
      <c r="H409" s="18" t="n">
        <v>1320</v>
      </c>
      <c r="I409" s="20"/>
    </row>
    <row r="410" customFormat="false" ht="15" hidden="false" customHeight="false" outlineLevel="0" collapsed="false">
      <c r="A410" s="16" t="n">
        <v>45774</v>
      </c>
      <c r="B410" s="17" t="s">
        <v>503</v>
      </c>
      <c r="C410" s="17" t="s">
        <v>75</v>
      </c>
      <c r="D410" s="17" t="s">
        <v>98</v>
      </c>
      <c r="E410" s="17" t="n">
        <v>19</v>
      </c>
      <c r="F410" s="18" t="n">
        <v>120</v>
      </c>
      <c r="G410" s="19" t="n">
        <v>0.05</v>
      </c>
      <c r="H410" s="18" t="n">
        <v>2166</v>
      </c>
      <c r="I410" s="20"/>
    </row>
    <row r="411" customFormat="false" ht="15" hidden="false" customHeight="false" outlineLevel="0" collapsed="false">
      <c r="A411" s="16" t="n">
        <v>45775</v>
      </c>
      <c r="B411" s="17" t="s">
        <v>504</v>
      </c>
      <c r="C411" s="17" t="s">
        <v>73</v>
      </c>
      <c r="D411" s="17" t="s">
        <v>92</v>
      </c>
      <c r="E411" s="17" t="n">
        <v>9</v>
      </c>
      <c r="F411" s="18" t="n">
        <v>1450</v>
      </c>
      <c r="G411" s="19" t="n">
        <v>0.05</v>
      </c>
      <c r="H411" s="18" t="n">
        <v>12397.5</v>
      </c>
      <c r="I411" s="20"/>
    </row>
    <row r="412" customFormat="false" ht="15" hidden="false" customHeight="false" outlineLevel="0" collapsed="false">
      <c r="A412" s="16" t="n">
        <v>45775</v>
      </c>
      <c r="B412" s="17" t="s">
        <v>505</v>
      </c>
      <c r="C412" s="17" t="s">
        <v>73</v>
      </c>
      <c r="D412" s="17" t="s">
        <v>92</v>
      </c>
      <c r="E412" s="17" t="n">
        <v>9</v>
      </c>
      <c r="F412" s="18" t="n">
        <v>1450</v>
      </c>
      <c r="G412" s="19" t="n">
        <v>0</v>
      </c>
      <c r="H412" s="18" t="n">
        <v>13050</v>
      </c>
      <c r="I412" s="20"/>
    </row>
    <row r="413" customFormat="false" ht="15" hidden="false" customHeight="false" outlineLevel="0" collapsed="false">
      <c r="A413" s="16" t="n">
        <v>45778</v>
      </c>
      <c r="B413" s="17" t="s">
        <v>506</v>
      </c>
      <c r="C413" s="17" t="s">
        <v>81</v>
      </c>
      <c r="D413" s="17" t="s">
        <v>102</v>
      </c>
      <c r="E413" s="17" t="n">
        <v>14</v>
      </c>
      <c r="F413" s="18" t="n">
        <v>60</v>
      </c>
      <c r="G413" s="19" t="n">
        <v>0</v>
      </c>
      <c r="H413" s="18" t="n">
        <v>840</v>
      </c>
      <c r="I413" s="20"/>
    </row>
    <row r="414" customFormat="false" ht="15" hidden="false" customHeight="false" outlineLevel="0" collapsed="false">
      <c r="A414" s="16" t="n">
        <v>45778</v>
      </c>
      <c r="B414" s="17" t="s">
        <v>507</v>
      </c>
      <c r="C414" s="17" t="s">
        <v>70</v>
      </c>
      <c r="D414" s="17" t="s">
        <v>96</v>
      </c>
      <c r="E414" s="17" t="n">
        <v>19</v>
      </c>
      <c r="F414" s="18" t="n">
        <v>850</v>
      </c>
      <c r="G414" s="19" t="n">
        <v>0.1</v>
      </c>
      <c r="H414" s="18" t="n">
        <v>14535</v>
      </c>
      <c r="I414" s="20"/>
    </row>
    <row r="415" customFormat="false" ht="15" hidden="false" customHeight="false" outlineLevel="0" collapsed="false">
      <c r="A415" s="16" t="n">
        <v>45778</v>
      </c>
      <c r="B415" s="17" t="s">
        <v>508</v>
      </c>
      <c r="C415" s="17" t="s">
        <v>78</v>
      </c>
      <c r="D415" s="17" t="s">
        <v>102</v>
      </c>
      <c r="E415" s="17" t="n">
        <v>9</v>
      </c>
      <c r="F415" s="18" t="n">
        <v>95</v>
      </c>
      <c r="G415" s="19" t="n">
        <v>0.1</v>
      </c>
      <c r="H415" s="18" t="n">
        <v>769.5</v>
      </c>
      <c r="I415" s="20"/>
    </row>
    <row r="416" customFormat="false" ht="15" hidden="false" customHeight="false" outlineLevel="0" collapsed="false">
      <c r="A416" s="16" t="n">
        <v>45779</v>
      </c>
      <c r="B416" s="17" t="s">
        <v>509</v>
      </c>
      <c r="C416" s="17" t="s">
        <v>78</v>
      </c>
      <c r="D416" s="17" t="s">
        <v>102</v>
      </c>
      <c r="E416" s="17" t="n">
        <v>5</v>
      </c>
      <c r="F416" s="18" t="n">
        <v>95</v>
      </c>
      <c r="G416" s="19" t="n">
        <v>0</v>
      </c>
      <c r="H416" s="18" t="n">
        <v>475</v>
      </c>
      <c r="I416" s="20"/>
    </row>
    <row r="417" customFormat="false" ht="15" hidden="false" customHeight="false" outlineLevel="0" collapsed="false">
      <c r="A417" s="16" t="n">
        <v>45779</v>
      </c>
      <c r="B417" s="17" t="s">
        <v>510</v>
      </c>
      <c r="C417" s="17" t="s">
        <v>73</v>
      </c>
      <c r="D417" s="17" t="s">
        <v>92</v>
      </c>
      <c r="E417" s="17" t="n">
        <v>12</v>
      </c>
      <c r="F417" s="18" t="n">
        <v>1450</v>
      </c>
      <c r="G417" s="19" t="n">
        <v>0</v>
      </c>
      <c r="H417" s="18" t="n">
        <v>17400</v>
      </c>
      <c r="I417" s="20"/>
    </row>
    <row r="418" customFormat="false" ht="15" hidden="false" customHeight="false" outlineLevel="0" collapsed="false">
      <c r="A418" s="16" t="n">
        <v>45780</v>
      </c>
      <c r="B418" s="17" t="s">
        <v>511</v>
      </c>
      <c r="C418" s="17" t="s">
        <v>75</v>
      </c>
      <c r="D418" s="17" t="s">
        <v>102</v>
      </c>
      <c r="E418" s="17" t="n">
        <v>12</v>
      </c>
      <c r="F418" s="18" t="n">
        <v>120</v>
      </c>
      <c r="G418" s="19" t="n">
        <v>0.1</v>
      </c>
      <c r="H418" s="18" t="n">
        <v>1296</v>
      </c>
      <c r="I418" s="20"/>
    </row>
    <row r="419" customFormat="false" ht="15" hidden="false" customHeight="false" outlineLevel="0" collapsed="false">
      <c r="A419" s="16" t="n">
        <v>45780</v>
      </c>
      <c r="B419" s="17" t="s">
        <v>512</v>
      </c>
      <c r="C419" s="17" t="s">
        <v>70</v>
      </c>
      <c r="D419" s="17" t="s">
        <v>102</v>
      </c>
      <c r="E419" s="17" t="n">
        <v>4</v>
      </c>
      <c r="F419" s="18" t="n">
        <v>850</v>
      </c>
      <c r="G419" s="19" t="n">
        <v>0.1</v>
      </c>
      <c r="H419" s="18" t="n">
        <v>3060</v>
      </c>
      <c r="I419" s="20"/>
    </row>
    <row r="420" customFormat="false" ht="15" hidden="false" customHeight="false" outlineLevel="0" collapsed="false">
      <c r="A420" s="16" t="n">
        <v>45780</v>
      </c>
      <c r="B420" s="17" t="s">
        <v>513</v>
      </c>
      <c r="C420" s="17" t="s">
        <v>75</v>
      </c>
      <c r="D420" s="17" t="s">
        <v>96</v>
      </c>
      <c r="E420" s="17" t="n">
        <v>4</v>
      </c>
      <c r="F420" s="18" t="n">
        <v>120</v>
      </c>
      <c r="G420" s="19" t="n">
        <v>0</v>
      </c>
      <c r="H420" s="18" t="n">
        <v>480</v>
      </c>
      <c r="I420" s="20"/>
    </row>
    <row r="421" customFormat="false" ht="15" hidden="false" customHeight="false" outlineLevel="0" collapsed="false">
      <c r="A421" s="16" t="n">
        <v>45780</v>
      </c>
      <c r="B421" s="17" t="s">
        <v>514</v>
      </c>
      <c r="C421" s="17" t="s">
        <v>75</v>
      </c>
      <c r="D421" s="17" t="s">
        <v>96</v>
      </c>
      <c r="E421" s="17" t="n">
        <v>6</v>
      </c>
      <c r="F421" s="18" t="n">
        <v>120</v>
      </c>
      <c r="G421" s="19" t="n">
        <v>0</v>
      </c>
      <c r="H421" s="18" t="n">
        <v>720</v>
      </c>
      <c r="I421" s="20"/>
    </row>
    <row r="422" customFormat="false" ht="15" hidden="false" customHeight="false" outlineLevel="0" collapsed="false">
      <c r="A422" s="16" t="n">
        <v>45781</v>
      </c>
      <c r="B422" s="17" t="s">
        <v>515</v>
      </c>
      <c r="C422" s="17" t="s">
        <v>78</v>
      </c>
      <c r="D422" s="17" t="s">
        <v>102</v>
      </c>
      <c r="E422" s="17" t="n">
        <v>13</v>
      </c>
      <c r="F422" s="18" t="n">
        <v>95</v>
      </c>
      <c r="G422" s="19" t="n">
        <v>0</v>
      </c>
      <c r="H422" s="18" t="n">
        <v>1235</v>
      </c>
      <c r="I422" s="20"/>
    </row>
    <row r="423" customFormat="false" ht="15" hidden="false" customHeight="false" outlineLevel="0" collapsed="false">
      <c r="A423" s="16" t="n">
        <v>45781</v>
      </c>
      <c r="B423" s="17" t="s">
        <v>516</v>
      </c>
      <c r="C423" s="17" t="s">
        <v>75</v>
      </c>
      <c r="D423" s="17" t="s">
        <v>92</v>
      </c>
      <c r="E423" s="17" t="n">
        <v>18</v>
      </c>
      <c r="F423" s="18" t="n">
        <v>120</v>
      </c>
      <c r="G423" s="19" t="n">
        <v>0</v>
      </c>
      <c r="H423" s="18" t="n">
        <v>2160</v>
      </c>
      <c r="I423" s="20"/>
    </row>
    <row r="424" customFormat="false" ht="15" hidden="false" customHeight="false" outlineLevel="0" collapsed="false">
      <c r="A424" s="16" t="n">
        <v>45781</v>
      </c>
      <c r="B424" s="17" t="s">
        <v>517</v>
      </c>
      <c r="C424" s="17" t="s">
        <v>73</v>
      </c>
      <c r="D424" s="17" t="s">
        <v>102</v>
      </c>
      <c r="E424" s="17" t="n">
        <v>8</v>
      </c>
      <c r="F424" s="18" t="n">
        <v>1450</v>
      </c>
      <c r="G424" s="19" t="n">
        <v>0</v>
      </c>
      <c r="H424" s="18" t="n">
        <v>11600</v>
      </c>
      <c r="I424" s="20"/>
    </row>
    <row r="425" customFormat="false" ht="15" hidden="false" customHeight="false" outlineLevel="0" collapsed="false">
      <c r="A425" s="16" t="n">
        <v>45782</v>
      </c>
      <c r="B425" s="17" t="s">
        <v>518</v>
      </c>
      <c r="C425" s="17" t="s">
        <v>75</v>
      </c>
      <c r="D425" s="17" t="s">
        <v>92</v>
      </c>
      <c r="E425" s="17" t="n">
        <v>6</v>
      </c>
      <c r="F425" s="18" t="n">
        <v>120</v>
      </c>
      <c r="G425" s="19" t="n">
        <v>0</v>
      </c>
      <c r="H425" s="18" t="n">
        <v>720</v>
      </c>
      <c r="I425" s="20"/>
    </row>
    <row r="426" customFormat="false" ht="15" hidden="false" customHeight="false" outlineLevel="0" collapsed="false">
      <c r="A426" s="16" t="n">
        <v>45782</v>
      </c>
      <c r="B426" s="17" t="s">
        <v>519</v>
      </c>
      <c r="C426" s="17" t="s">
        <v>78</v>
      </c>
      <c r="D426" s="17" t="s">
        <v>96</v>
      </c>
      <c r="E426" s="17" t="n">
        <v>13</v>
      </c>
      <c r="F426" s="18" t="n">
        <v>95</v>
      </c>
      <c r="G426" s="19" t="n">
        <v>0.1</v>
      </c>
      <c r="H426" s="18" t="n">
        <v>1111.5</v>
      </c>
      <c r="I426" s="20"/>
    </row>
    <row r="427" customFormat="false" ht="15" hidden="false" customHeight="false" outlineLevel="0" collapsed="false">
      <c r="A427" s="16" t="n">
        <v>45782</v>
      </c>
      <c r="B427" s="17" t="s">
        <v>520</v>
      </c>
      <c r="C427" s="17" t="s">
        <v>81</v>
      </c>
      <c r="D427" s="17" t="s">
        <v>96</v>
      </c>
      <c r="E427" s="17" t="n">
        <v>6</v>
      </c>
      <c r="F427" s="18" t="n">
        <v>60</v>
      </c>
      <c r="G427" s="19" t="n">
        <v>0</v>
      </c>
      <c r="H427" s="18" t="n">
        <v>360</v>
      </c>
      <c r="I427" s="20"/>
    </row>
    <row r="428" customFormat="false" ht="15" hidden="false" customHeight="false" outlineLevel="0" collapsed="false">
      <c r="A428" s="16" t="n">
        <v>45783</v>
      </c>
      <c r="B428" s="17" t="s">
        <v>521</v>
      </c>
      <c r="C428" s="17" t="s">
        <v>70</v>
      </c>
      <c r="D428" s="17" t="s">
        <v>92</v>
      </c>
      <c r="E428" s="17" t="n">
        <v>16</v>
      </c>
      <c r="F428" s="18" t="n">
        <v>850</v>
      </c>
      <c r="G428" s="19" t="n">
        <v>0</v>
      </c>
      <c r="H428" s="18" t="n">
        <v>13600</v>
      </c>
      <c r="I428" s="20"/>
    </row>
    <row r="429" customFormat="false" ht="15" hidden="false" customHeight="false" outlineLevel="0" collapsed="false">
      <c r="A429" s="16" t="n">
        <v>45783</v>
      </c>
      <c r="B429" s="17" t="s">
        <v>522</v>
      </c>
      <c r="C429" s="17" t="s">
        <v>78</v>
      </c>
      <c r="D429" s="17" t="s">
        <v>92</v>
      </c>
      <c r="E429" s="17" t="n">
        <v>13</v>
      </c>
      <c r="F429" s="18" t="n">
        <v>95</v>
      </c>
      <c r="G429" s="19" t="n">
        <v>0.1</v>
      </c>
      <c r="H429" s="18" t="n">
        <v>1111.5</v>
      </c>
      <c r="I429" s="20"/>
    </row>
    <row r="430" customFormat="false" ht="15" hidden="false" customHeight="false" outlineLevel="0" collapsed="false">
      <c r="A430" s="16" t="n">
        <v>45783</v>
      </c>
      <c r="B430" s="17" t="s">
        <v>523</v>
      </c>
      <c r="C430" s="17" t="s">
        <v>73</v>
      </c>
      <c r="D430" s="17" t="s">
        <v>102</v>
      </c>
      <c r="E430" s="17" t="n">
        <v>1</v>
      </c>
      <c r="F430" s="18" t="n">
        <v>1450</v>
      </c>
      <c r="G430" s="19" t="n">
        <v>0</v>
      </c>
      <c r="H430" s="18" t="n">
        <v>1450</v>
      </c>
      <c r="I430" s="20"/>
    </row>
    <row r="431" customFormat="false" ht="15" hidden="false" customHeight="false" outlineLevel="0" collapsed="false">
      <c r="A431" s="16" t="n">
        <v>45784</v>
      </c>
      <c r="B431" s="17" t="s">
        <v>524</v>
      </c>
      <c r="C431" s="17" t="s">
        <v>70</v>
      </c>
      <c r="D431" s="17" t="s">
        <v>102</v>
      </c>
      <c r="E431" s="17" t="n">
        <v>15</v>
      </c>
      <c r="F431" s="18" t="n">
        <v>850</v>
      </c>
      <c r="G431" s="19" t="n">
        <v>0.05</v>
      </c>
      <c r="H431" s="18" t="n">
        <v>12112.5</v>
      </c>
      <c r="I431" s="20"/>
    </row>
    <row r="432" customFormat="false" ht="15" hidden="false" customHeight="false" outlineLevel="0" collapsed="false">
      <c r="A432" s="16" t="n">
        <v>45785</v>
      </c>
      <c r="B432" s="17" t="s">
        <v>525</v>
      </c>
      <c r="C432" s="17" t="s">
        <v>78</v>
      </c>
      <c r="D432" s="17" t="s">
        <v>102</v>
      </c>
      <c r="E432" s="17" t="n">
        <v>6</v>
      </c>
      <c r="F432" s="18" t="n">
        <v>95</v>
      </c>
      <c r="G432" s="19" t="n">
        <v>0</v>
      </c>
      <c r="H432" s="18" t="n">
        <v>570</v>
      </c>
      <c r="I432" s="20"/>
    </row>
    <row r="433" customFormat="false" ht="15" hidden="false" customHeight="false" outlineLevel="0" collapsed="false">
      <c r="A433" s="16" t="n">
        <v>45785</v>
      </c>
      <c r="B433" s="17" t="s">
        <v>526</v>
      </c>
      <c r="C433" s="17" t="s">
        <v>81</v>
      </c>
      <c r="D433" s="17" t="s">
        <v>92</v>
      </c>
      <c r="E433" s="17" t="n">
        <v>16</v>
      </c>
      <c r="F433" s="18" t="n">
        <v>60</v>
      </c>
      <c r="G433" s="19" t="n">
        <v>0</v>
      </c>
      <c r="H433" s="18" t="n">
        <v>960</v>
      </c>
      <c r="I433" s="20"/>
    </row>
    <row r="434" customFormat="false" ht="15" hidden="false" customHeight="false" outlineLevel="0" collapsed="false">
      <c r="A434" s="16" t="n">
        <v>45785</v>
      </c>
      <c r="B434" s="17" t="s">
        <v>527</v>
      </c>
      <c r="C434" s="17" t="s">
        <v>81</v>
      </c>
      <c r="D434" s="17" t="s">
        <v>98</v>
      </c>
      <c r="E434" s="17" t="n">
        <v>7</v>
      </c>
      <c r="F434" s="18" t="n">
        <v>60</v>
      </c>
      <c r="G434" s="19" t="n">
        <v>0</v>
      </c>
      <c r="H434" s="18" t="n">
        <v>420</v>
      </c>
      <c r="I434" s="20"/>
    </row>
    <row r="435" customFormat="false" ht="15" hidden="false" customHeight="false" outlineLevel="0" collapsed="false">
      <c r="A435" s="16" t="n">
        <v>45785</v>
      </c>
      <c r="B435" s="17" t="s">
        <v>528</v>
      </c>
      <c r="C435" s="17" t="s">
        <v>70</v>
      </c>
      <c r="D435" s="17" t="s">
        <v>102</v>
      </c>
      <c r="E435" s="17" t="n">
        <v>9</v>
      </c>
      <c r="F435" s="18" t="n">
        <v>850</v>
      </c>
      <c r="G435" s="19" t="n">
        <v>0</v>
      </c>
      <c r="H435" s="18" t="n">
        <v>7650</v>
      </c>
      <c r="I435" s="20"/>
    </row>
    <row r="436" customFormat="false" ht="15" hidden="false" customHeight="false" outlineLevel="0" collapsed="false">
      <c r="A436" s="16" t="n">
        <v>45786</v>
      </c>
      <c r="B436" s="17" t="s">
        <v>529</v>
      </c>
      <c r="C436" s="17" t="s">
        <v>78</v>
      </c>
      <c r="D436" s="17" t="s">
        <v>98</v>
      </c>
      <c r="E436" s="17" t="n">
        <v>3</v>
      </c>
      <c r="F436" s="18" t="n">
        <v>95</v>
      </c>
      <c r="G436" s="19" t="n">
        <v>0</v>
      </c>
      <c r="H436" s="18" t="n">
        <v>285</v>
      </c>
      <c r="I436" s="20"/>
    </row>
    <row r="437" customFormat="false" ht="15" hidden="false" customHeight="false" outlineLevel="0" collapsed="false">
      <c r="A437" s="16" t="n">
        <v>45786</v>
      </c>
      <c r="B437" s="17" t="s">
        <v>530</v>
      </c>
      <c r="C437" s="17" t="s">
        <v>81</v>
      </c>
      <c r="D437" s="17" t="s">
        <v>102</v>
      </c>
      <c r="E437" s="17" t="n">
        <v>1</v>
      </c>
      <c r="F437" s="18" t="n">
        <v>60</v>
      </c>
      <c r="G437" s="19" t="n">
        <v>0</v>
      </c>
      <c r="H437" s="18" t="n">
        <v>60</v>
      </c>
      <c r="I437" s="20"/>
    </row>
    <row r="438" customFormat="false" ht="15" hidden="false" customHeight="false" outlineLevel="0" collapsed="false">
      <c r="A438" s="16" t="n">
        <v>45786</v>
      </c>
      <c r="B438" s="17" t="s">
        <v>531</v>
      </c>
      <c r="C438" s="17" t="s">
        <v>78</v>
      </c>
      <c r="D438" s="17" t="s">
        <v>92</v>
      </c>
      <c r="E438" s="17" t="n">
        <v>4</v>
      </c>
      <c r="F438" s="18" t="n">
        <v>95</v>
      </c>
      <c r="G438" s="19" t="n">
        <v>0.1</v>
      </c>
      <c r="H438" s="18" t="n">
        <v>342</v>
      </c>
      <c r="I438" s="20"/>
    </row>
    <row r="439" customFormat="false" ht="15" hidden="false" customHeight="false" outlineLevel="0" collapsed="false">
      <c r="A439" s="16" t="n">
        <v>45787</v>
      </c>
      <c r="B439" s="17" t="s">
        <v>532</v>
      </c>
      <c r="C439" s="17" t="s">
        <v>81</v>
      </c>
      <c r="D439" s="17" t="s">
        <v>96</v>
      </c>
      <c r="E439" s="17" t="n">
        <v>13</v>
      </c>
      <c r="F439" s="18" t="n">
        <v>60</v>
      </c>
      <c r="G439" s="19" t="n">
        <v>0</v>
      </c>
      <c r="H439" s="18" t="n">
        <v>780</v>
      </c>
      <c r="I439" s="20"/>
    </row>
    <row r="440" customFormat="false" ht="15" hidden="false" customHeight="false" outlineLevel="0" collapsed="false">
      <c r="A440" s="16" t="n">
        <v>45787</v>
      </c>
      <c r="B440" s="17" t="s">
        <v>533</v>
      </c>
      <c r="C440" s="17" t="s">
        <v>78</v>
      </c>
      <c r="D440" s="17" t="s">
        <v>92</v>
      </c>
      <c r="E440" s="17" t="n">
        <v>20</v>
      </c>
      <c r="F440" s="18" t="n">
        <v>95</v>
      </c>
      <c r="G440" s="19" t="n">
        <v>0</v>
      </c>
      <c r="H440" s="18" t="n">
        <v>1900</v>
      </c>
      <c r="I440" s="20"/>
    </row>
    <row r="441" customFormat="false" ht="15" hidden="false" customHeight="false" outlineLevel="0" collapsed="false">
      <c r="A441" s="16" t="n">
        <v>45787</v>
      </c>
      <c r="B441" s="17" t="s">
        <v>534</v>
      </c>
      <c r="C441" s="17" t="s">
        <v>73</v>
      </c>
      <c r="D441" s="17" t="s">
        <v>98</v>
      </c>
      <c r="E441" s="17" t="n">
        <v>16</v>
      </c>
      <c r="F441" s="18" t="n">
        <v>1450</v>
      </c>
      <c r="G441" s="19" t="n">
        <v>0.1</v>
      </c>
      <c r="H441" s="18" t="n">
        <v>20880</v>
      </c>
      <c r="I441" s="20"/>
    </row>
    <row r="442" customFormat="false" ht="15" hidden="false" customHeight="false" outlineLevel="0" collapsed="false">
      <c r="A442" s="16" t="n">
        <v>45787</v>
      </c>
      <c r="B442" s="17" t="s">
        <v>535</v>
      </c>
      <c r="C442" s="17" t="s">
        <v>70</v>
      </c>
      <c r="D442" s="17" t="s">
        <v>102</v>
      </c>
      <c r="E442" s="17" t="n">
        <v>12</v>
      </c>
      <c r="F442" s="18" t="n">
        <v>850</v>
      </c>
      <c r="G442" s="19" t="n">
        <v>0</v>
      </c>
      <c r="H442" s="18" t="n">
        <v>10200</v>
      </c>
      <c r="I442" s="20"/>
    </row>
    <row r="443" customFormat="false" ht="15" hidden="false" customHeight="false" outlineLevel="0" collapsed="false">
      <c r="A443" s="16" t="n">
        <v>45787</v>
      </c>
      <c r="B443" s="17" t="s">
        <v>536</v>
      </c>
      <c r="C443" s="17" t="s">
        <v>78</v>
      </c>
      <c r="D443" s="17" t="s">
        <v>96</v>
      </c>
      <c r="E443" s="17" t="n">
        <v>20</v>
      </c>
      <c r="F443" s="18" t="n">
        <v>95</v>
      </c>
      <c r="G443" s="19" t="n">
        <v>0.05</v>
      </c>
      <c r="H443" s="18" t="n">
        <v>1805</v>
      </c>
      <c r="I443" s="20"/>
    </row>
    <row r="444" customFormat="false" ht="15" hidden="false" customHeight="false" outlineLevel="0" collapsed="false">
      <c r="A444" s="16" t="n">
        <v>45787</v>
      </c>
      <c r="B444" s="17" t="s">
        <v>537</v>
      </c>
      <c r="C444" s="17" t="s">
        <v>73</v>
      </c>
      <c r="D444" s="17" t="s">
        <v>102</v>
      </c>
      <c r="E444" s="17" t="n">
        <v>11</v>
      </c>
      <c r="F444" s="18" t="n">
        <v>1450</v>
      </c>
      <c r="G444" s="19" t="n">
        <v>0.05</v>
      </c>
      <c r="H444" s="18" t="n">
        <v>15152.5</v>
      </c>
      <c r="I444" s="20"/>
    </row>
    <row r="445" customFormat="false" ht="15" hidden="false" customHeight="false" outlineLevel="0" collapsed="false">
      <c r="A445" s="16" t="n">
        <v>45787</v>
      </c>
      <c r="B445" s="17" t="s">
        <v>538</v>
      </c>
      <c r="C445" s="17" t="s">
        <v>81</v>
      </c>
      <c r="D445" s="17" t="s">
        <v>98</v>
      </c>
      <c r="E445" s="17" t="n">
        <v>20</v>
      </c>
      <c r="F445" s="18" t="n">
        <v>60</v>
      </c>
      <c r="G445" s="19" t="n">
        <v>0</v>
      </c>
      <c r="H445" s="18" t="n">
        <v>1200</v>
      </c>
      <c r="I445" s="20"/>
    </row>
    <row r="446" customFormat="false" ht="15" hidden="false" customHeight="false" outlineLevel="0" collapsed="false">
      <c r="A446" s="16" t="n">
        <v>45787</v>
      </c>
      <c r="B446" s="17" t="s">
        <v>539</v>
      </c>
      <c r="C446" s="17" t="s">
        <v>73</v>
      </c>
      <c r="D446" s="17" t="s">
        <v>102</v>
      </c>
      <c r="E446" s="17" t="n">
        <v>9</v>
      </c>
      <c r="F446" s="18" t="n">
        <v>1450</v>
      </c>
      <c r="G446" s="19" t="n">
        <v>0.05</v>
      </c>
      <c r="H446" s="18" t="n">
        <v>12397.5</v>
      </c>
      <c r="I446" s="20"/>
    </row>
    <row r="447" customFormat="false" ht="15" hidden="false" customHeight="false" outlineLevel="0" collapsed="false">
      <c r="A447" s="16" t="n">
        <v>45787</v>
      </c>
      <c r="B447" s="17" t="s">
        <v>540</v>
      </c>
      <c r="C447" s="17" t="s">
        <v>75</v>
      </c>
      <c r="D447" s="17" t="s">
        <v>96</v>
      </c>
      <c r="E447" s="17" t="n">
        <v>3</v>
      </c>
      <c r="F447" s="18" t="n">
        <v>120</v>
      </c>
      <c r="G447" s="19" t="n">
        <v>0.1</v>
      </c>
      <c r="H447" s="18" t="n">
        <v>324</v>
      </c>
      <c r="I447" s="20"/>
    </row>
    <row r="448" customFormat="false" ht="15" hidden="false" customHeight="false" outlineLevel="0" collapsed="false">
      <c r="A448" s="16" t="n">
        <v>45788</v>
      </c>
      <c r="B448" s="17" t="s">
        <v>541</v>
      </c>
      <c r="C448" s="17" t="s">
        <v>73</v>
      </c>
      <c r="D448" s="17" t="s">
        <v>96</v>
      </c>
      <c r="E448" s="17" t="n">
        <v>14</v>
      </c>
      <c r="F448" s="18" t="n">
        <v>1450</v>
      </c>
      <c r="G448" s="19" t="n">
        <v>0</v>
      </c>
      <c r="H448" s="18" t="n">
        <v>20300</v>
      </c>
      <c r="I448" s="20"/>
    </row>
    <row r="449" customFormat="false" ht="15" hidden="false" customHeight="false" outlineLevel="0" collapsed="false">
      <c r="A449" s="16" t="n">
        <v>45788</v>
      </c>
      <c r="B449" s="17" t="s">
        <v>542</v>
      </c>
      <c r="C449" s="17" t="s">
        <v>78</v>
      </c>
      <c r="D449" s="17" t="s">
        <v>96</v>
      </c>
      <c r="E449" s="17" t="n">
        <v>3</v>
      </c>
      <c r="F449" s="18" t="n">
        <v>95</v>
      </c>
      <c r="G449" s="19" t="n">
        <v>0.1</v>
      </c>
      <c r="H449" s="18" t="n">
        <v>256.5</v>
      </c>
      <c r="I449" s="20"/>
    </row>
    <row r="450" customFormat="false" ht="15" hidden="false" customHeight="false" outlineLevel="0" collapsed="false">
      <c r="A450" s="16" t="n">
        <v>45789</v>
      </c>
      <c r="B450" s="17" t="s">
        <v>543</v>
      </c>
      <c r="C450" s="17" t="s">
        <v>73</v>
      </c>
      <c r="D450" s="17" t="s">
        <v>92</v>
      </c>
      <c r="E450" s="17" t="n">
        <v>20</v>
      </c>
      <c r="F450" s="18" t="n">
        <v>1450</v>
      </c>
      <c r="G450" s="19" t="n">
        <v>0</v>
      </c>
      <c r="H450" s="18" t="n">
        <v>29000</v>
      </c>
      <c r="I450" s="20"/>
    </row>
    <row r="451" customFormat="false" ht="15" hidden="false" customHeight="false" outlineLevel="0" collapsed="false">
      <c r="A451" s="16" t="n">
        <v>45789</v>
      </c>
      <c r="B451" s="17" t="s">
        <v>544</v>
      </c>
      <c r="C451" s="17" t="s">
        <v>81</v>
      </c>
      <c r="D451" s="17" t="s">
        <v>98</v>
      </c>
      <c r="E451" s="17" t="n">
        <v>12</v>
      </c>
      <c r="F451" s="18" t="n">
        <v>60</v>
      </c>
      <c r="G451" s="19" t="n">
        <v>0.05</v>
      </c>
      <c r="H451" s="18" t="n">
        <v>684</v>
      </c>
      <c r="I451" s="20"/>
    </row>
    <row r="452" customFormat="false" ht="15" hidden="false" customHeight="false" outlineLevel="0" collapsed="false">
      <c r="A452" s="16" t="n">
        <v>45790</v>
      </c>
      <c r="B452" s="17" t="s">
        <v>545</v>
      </c>
      <c r="C452" s="17" t="s">
        <v>70</v>
      </c>
      <c r="D452" s="17" t="s">
        <v>92</v>
      </c>
      <c r="E452" s="17" t="n">
        <v>12</v>
      </c>
      <c r="F452" s="18" t="n">
        <v>850</v>
      </c>
      <c r="G452" s="19" t="n">
        <v>0</v>
      </c>
      <c r="H452" s="18" t="n">
        <v>10200</v>
      </c>
      <c r="I452" s="20"/>
    </row>
    <row r="453" customFormat="false" ht="15" hidden="false" customHeight="false" outlineLevel="0" collapsed="false">
      <c r="A453" s="16" t="n">
        <v>45790</v>
      </c>
      <c r="B453" s="17" t="s">
        <v>546</v>
      </c>
      <c r="C453" s="17" t="s">
        <v>70</v>
      </c>
      <c r="D453" s="17" t="s">
        <v>96</v>
      </c>
      <c r="E453" s="17" t="n">
        <v>16</v>
      </c>
      <c r="F453" s="18" t="n">
        <v>850</v>
      </c>
      <c r="G453" s="19" t="n">
        <v>0</v>
      </c>
      <c r="H453" s="18" t="n">
        <v>13600</v>
      </c>
      <c r="I453" s="20"/>
    </row>
    <row r="454" customFormat="false" ht="15" hidden="false" customHeight="false" outlineLevel="0" collapsed="false">
      <c r="A454" s="16" t="n">
        <v>45790</v>
      </c>
      <c r="B454" s="17" t="s">
        <v>547</v>
      </c>
      <c r="C454" s="17" t="s">
        <v>70</v>
      </c>
      <c r="D454" s="17" t="s">
        <v>96</v>
      </c>
      <c r="E454" s="17" t="n">
        <v>7</v>
      </c>
      <c r="F454" s="18" t="n">
        <v>850</v>
      </c>
      <c r="G454" s="19" t="n">
        <v>0</v>
      </c>
      <c r="H454" s="18" t="n">
        <v>5950</v>
      </c>
      <c r="I454" s="20"/>
    </row>
    <row r="455" customFormat="false" ht="15" hidden="false" customHeight="false" outlineLevel="0" collapsed="false">
      <c r="A455" s="16" t="n">
        <v>45791</v>
      </c>
      <c r="B455" s="17" t="s">
        <v>548</v>
      </c>
      <c r="C455" s="17" t="s">
        <v>75</v>
      </c>
      <c r="D455" s="17" t="s">
        <v>98</v>
      </c>
      <c r="E455" s="17" t="n">
        <v>8</v>
      </c>
      <c r="F455" s="18" t="n">
        <v>120</v>
      </c>
      <c r="G455" s="19" t="n">
        <v>0</v>
      </c>
      <c r="H455" s="18" t="n">
        <v>960</v>
      </c>
      <c r="I455" s="20"/>
    </row>
    <row r="456" customFormat="false" ht="15" hidden="false" customHeight="false" outlineLevel="0" collapsed="false">
      <c r="A456" s="16" t="n">
        <v>45791</v>
      </c>
      <c r="B456" s="17" t="s">
        <v>549</v>
      </c>
      <c r="C456" s="17" t="s">
        <v>81</v>
      </c>
      <c r="D456" s="17" t="s">
        <v>96</v>
      </c>
      <c r="E456" s="17" t="n">
        <v>8</v>
      </c>
      <c r="F456" s="18" t="n">
        <v>60</v>
      </c>
      <c r="G456" s="19" t="n">
        <v>0</v>
      </c>
      <c r="H456" s="18" t="n">
        <v>480</v>
      </c>
      <c r="I456" s="20"/>
    </row>
    <row r="457" customFormat="false" ht="15" hidden="false" customHeight="false" outlineLevel="0" collapsed="false">
      <c r="A457" s="16" t="n">
        <v>45791</v>
      </c>
      <c r="B457" s="17" t="s">
        <v>550</v>
      </c>
      <c r="C457" s="17" t="s">
        <v>75</v>
      </c>
      <c r="D457" s="17" t="s">
        <v>96</v>
      </c>
      <c r="E457" s="17" t="n">
        <v>18</v>
      </c>
      <c r="F457" s="18" t="n">
        <v>120</v>
      </c>
      <c r="G457" s="19" t="n">
        <v>0</v>
      </c>
      <c r="H457" s="18" t="n">
        <v>2160</v>
      </c>
      <c r="I457" s="20"/>
    </row>
    <row r="458" customFormat="false" ht="15" hidden="false" customHeight="false" outlineLevel="0" collapsed="false">
      <c r="A458" s="16" t="n">
        <v>45791</v>
      </c>
      <c r="B458" s="17" t="s">
        <v>551</v>
      </c>
      <c r="C458" s="17" t="s">
        <v>70</v>
      </c>
      <c r="D458" s="17" t="s">
        <v>98</v>
      </c>
      <c r="E458" s="17" t="n">
        <v>1</v>
      </c>
      <c r="F458" s="18" t="n">
        <v>850</v>
      </c>
      <c r="G458" s="19" t="n">
        <v>0</v>
      </c>
      <c r="H458" s="18" t="n">
        <v>850</v>
      </c>
      <c r="I458" s="20"/>
    </row>
    <row r="459" customFormat="false" ht="15" hidden="false" customHeight="false" outlineLevel="0" collapsed="false">
      <c r="A459" s="16" t="n">
        <v>45791</v>
      </c>
      <c r="B459" s="17" t="s">
        <v>552</v>
      </c>
      <c r="C459" s="17" t="s">
        <v>78</v>
      </c>
      <c r="D459" s="17" t="s">
        <v>98</v>
      </c>
      <c r="E459" s="17" t="n">
        <v>9</v>
      </c>
      <c r="F459" s="18" t="n">
        <v>95</v>
      </c>
      <c r="G459" s="19" t="n">
        <v>0</v>
      </c>
      <c r="H459" s="18" t="n">
        <v>855</v>
      </c>
      <c r="I459" s="20"/>
    </row>
    <row r="460" customFormat="false" ht="15" hidden="false" customHeight="false" outlineLevel="0" collapsed="false">
      <c r="A460" s="16" t="n">
        <v>45791</v>
      </c>
      <c r="B460" s="17" t="s">
        <v>553</v>
      </c>
      <c r="C460" s="17" t="s">
        <v>70</v>
      </c>
      <c r="D460" s="17" t="s">
        <v>102</v>
      </c>
      <c r="E460" s="17" t="n">
        <v>19</v>
      </c>
      <c r="F460" s="18" t="n">
        <v>850</v>
      </c>
      <c r="G460" s="19" t="n">
        <v>0.05</v>
      </c>
      <c r="H460" s="18" t="n">
        <v>15342.5</v>
      </c>
      <c r="I460" s="20"/>
    </row>
    <row r="461" customFormat="false" ht="15" hidden="false" customHeight="false" outlineLevel="0" collapsed="false">
      <c r="A461" s="16" t="n">
        <v>45791</v>
      </c>
      <c r="B461" s="17" t="s">
        <v>554</v>
      </c>
      <c r="C461" s="17" t="s">
        <v>70</v>
      </c>
      <c r="D461" s="17" t="s">
        <v>98</v>
      </c>
      <c r="E461" s="17" t="n">
        <v>9</v>
      </c>
      <c r="F461" s="18" t="n">
        <v>850</v>
      </c>
      <c r="G461" s="19" t="n">
        <v>0</v>
      </c>
      <c r="H461" s="18" t="n">
        <v>7650</v>
      </c>
      <c r="I461" s="20"/>
    </row>
    <row r="462" customFormat="false" ht="15" hidden="false" customHeight="false" outlineLevel="0" collapsed="false">
      <c r="A462" s="16" t="n">
        <v>45792</v>
      </c>
      <c r="B462" s="17" t="s">
        <v>555</v>
      </c>
      <c r="C462" s="17" t="s">
        <v>78</v>
      </c>
      <c r="D462" s="17" t="s">
        <v>92</v>
      </c>
      <c r="E462" s="17" t="n">
        <v>20</v>
      </c>
      <c r="F462" s="18" t="n">
        <v>95</v>
      </c>
      <c r="G462" s="19" t="n">
        <v>0</v>
      </c>
      <c r="H462" s="18" t="n">
        <v>1900</v>
      </c>
      <c r="I462" s="20"/>
    </row>
    <row r="463" customFormat="false" ht="15" hidden="false" customHeight="false" outlineLevel="0" collapsed="false">
      <c r="A463" s="16" t="n">
        <v>45792</v>
      </c>
      <c r="B463" s="17" t="s">
        <v>556</v>
      </c>
      <c r="C463" s="17" t="s">
        <v>81</v>
      </c>
      <c r="D463" s="17" t="s">
        <v>102</v>
      </c>
      <c r="E463" s="17" t="n">
        <v>3</v>
      </c>
      <c r="F463" s="18" t="n">
        <v>60</v>
      </c>
      <c r="G463" s="19" t="n">
        <v>0.1</v>
      </c>
      <c r="H463" s="18" t="n">
        <v>162</v>
      </c>
      <c r="I463" s="20"/>
    </row>
    <row r="464" customFormat="false" ht="15" hidden="false" customHeight="false" outlineLevel="0" collapsed="false">
      <c r="A464" s="16" t="n">
        <v>45792</v>
      </c>
      <c r="B464" s="17" t="s">
        <v>557</v>
      </c>
      <c r="C464" s="17" t="s">
        <v>81</v>
      </c>
      <c r="D464" s="17" t="s">
        <v>98</v>
      </c>
      <c r="E464" s="17" t="n">
        <v>3</v>
      </c>
      <c r="F464" s="18" t="n">
        <v>60</v>
      </c>
      <c r="G464" s="19" t="n">
        <v>0</v>
      </c>
      <c r="H464" s="18" t="n">
        <v>180</v>
      </c>
      <c r="I464" s="20"/>
    </row>
    <row r="465" customFormat="false" ht="15" hidden="false" customHeight="false" outlineLevel="0" collapsed="false">
      <c r="A465" s="16" t="n">
        <v>45792</v>
      </c>
      <c r="B465" s="17" t="s">
        <v>558</v>
      </c>
      <c r="C465" s="17" t="s">
        <v>78</v>
      </c>
      <c r="D465" s="17" t="s">
        <v>96</v>
      </c>
      <c r="E465" s="17" t="n">
        <v>13</v>
      </c>
      <c r="F465" s="18" t="n">
        <v>95</v>
      </c>
      <c r="G465" s="19" t="n">
        <v>0</v>
      </c>
      <c r="H465" s="18" t="n">
        <v>1235</v>
      </c>
      <c r="I465" s="20"/>
    </row>
    <row r="466" customFormat="false" ht="15" hidden="false" customHeight="false" outlineLevel="0" collapsed="false">
      <c r="A466" s="16" t="n">
        <v>45793</v>
      </c>
      <c r="B466" s="17" t="s">
        <v>559</v>
      </c>
      <c r="C466" s="17" t="s">
        <v>81</v>
      </c>
      <c r="D466" s="17" t="s">
        <v>96</v>
      </c>
      <c r="E466" s="17" t="n">
        <v>17</v>
      </c>
      <c r="F466" s="18" t="n">
        <v>60</v>
      </c>
      <c r="G466" s="19" t="n">
        <v>0</v>
      </c>
      <c r="H466" s="18" t="n">
        <v>1020</v>
      </c>
      <c r="I466" s="20"/>
    </row>
    <row r="467" customFormat="false" ht="15" hidden="false" customHeight="false" outlineLevel="0" collapsed="false">
      <c r="A467" s="16" t="n">
        <v>45794</v>
      </c>
      <c r="B467" s="17" t="s">
        <v>560</v>
      </c>
      <c r="C467" s="17" t="s">
        <v>78</v>
      </c>
      <c r="D467" s="17" t="s">
        <v>96</v>
      </c>
      <c r="E467" s="17" t="n">
        <v>20</v>
      </c>
      <c r="F467" s="18" t="n">
        <v>95</v>
      </c>
      <c r="G467" s="19" t="n">
        <v>0</v>
      </c>
      <c r="H467" s="18" t="n">
        <v>1900</v>
      </c>
      <c r="I467" s="20"/>
    </row>
    <row r="468" customFormat="false" ht="15" hidden="false" customHeight="false" outlineLevel="0" collapsed="false">
      <c r="A468" s="16" t="n">
        <v>45794</v>
      </c>
      <c r="B468" s="17" t="s">
        <v>561</v>
      </c>
      <c r="C468" s="17" t="s">
        <v>81</v>
      </c>
      <c r="D468" s="17" t="s">
        <v>92</v>
      </c>
      <c r="E468" s="17" t="n">
        <v>13</v>
      </c>
      <c r="F468" s="18" t="n">
        <v>60</v>
      </c>
      <c r="G468" s="19" t="n">
        <v>0</v>
      </c>
      <c r="H468" s="18" t="n">
        <v>780</v>
      </c>
      <c r="I468" s="20"/>
    </row>
    <row r="469" customFormat="false" ht="15" hidden="false" customHeight="false" outlineLevel="0" collapsed="false">
      <c r="A469" s="16" t="n">
        <v>45795</v>
      </c>
      <c r="B469" s="17" t="s">
        <v>562</v>
      </c>
      <c r="C469" s="17" t="s">
        <v>78</v>
      </c>
      <c r="D469" s="17" t="s">
        <v>92</v>
      </c>
      <c r="E469" s="17" t="n">
        <v>15</v>
      </c>
      <c r="F469" s="18" t="n">
        <v>95</v>
      </c>
      <c r="G469" s="19" t="n">
        <v>0</v>
      </c>
      <c r="H469" s="18" t="n">
        <v>1425</v>
      </c>
      <c r="I469" s="20"/>
    </row>
    <row r="470" customFormat="false" ht="15" hidden="false" customHeight="false" outlineLevel="0" collapsed="false">
      <c r="A470" s="16" t="n">
        <v>45795</v>
      </c>
      <c r="B470" s="17" t="s">
        <v>563</v>
      </c>
      <c r="C470" s="17" t="s">
        <v>81</v>
      </c>
      <c r="D470" s="17" t="s">
        <v>98</v>
      </c>
      <c r="E470" s="17" t="n">
        <v>6</v>
      </c>
      <c r="F470" s="18" t="n">
        <v>60</v>
      </c>
      <c r="G470" s="19" t="n">
        <v>0</v>
      </c>
      <c r="H470" s="18" t="n">
        <v>360</v>
      </c>
      <c r="I470" s="20"/>
    </row>
    <row r="471" customFormat="false" ht="15" hidden="false" customHeight="false" outlineLevel="0" collapsed="false">
      <c r="A471" s="16" t="n">
        <v>45795</v>
      </c>
      <c r="B471" s="17" t="s">
        <v>564</v>
      </c>
      <c r="C471" s="17" t="s">
        <v>70</v>
      </c>
      <c r="D471" s="17" t="s">
        <v>102</v>
      </c>
      <c r="E471" s="17" t="n">
        <v>16</v>
      </c>
      <c r="F471" s="18" t="n">
        <v>850</v>
      </c>
      <c r="G471" s="19" t="n">
        <v>0</v>
      </c>
      <c r="H471" s="18" t="n">
        <v>13600</v>
      </c>
      <c r="I471" s="20"/>
    </row>
    <row r="472" customFormat="false" ht="15" hidden="false" customHeight="false" outlineLevel="0" collapsed="false">
      <c r="A472" s="16" t="n">
        <v>45796</v>
      </c>
      <c r="B472" s="17" t="s">
        <v>565</v>
      </c>
      <c r="C472" s="17" t="s">
        <v>78</v>
      </c>
      <c r="D472" s="17" t="s">
        <v>92</v>
      </c>
      <c r="E472" s="17" t="n">
        <v>6</v>
      </c>
      <c r="F472" s="18" t="n">
        <v>95</v>
      </c>
      <c r="G472" s="19" t="n">
        <v>0</v>
      </c>
      <c r="H472" s="18" t="n">
        <v>570</v>
      </c>
      <c r="I472" s="20"/>
    </row>
    <row r="473" customFormat="false" ht="15" hidden="false" customHeight="false" outlineLevel="0" collapsed="false">
      <c r="A473" s="16" t="n">
        <v>45796</v>
      </c>
      <c r="B473" s="17" t="s">
        <v>566</v>
      </c>
      <c r="C473" s="17" t="s">
        <v>81</v>
      </c>
      <c r="D473" s="17" t="s">
        <v>102</v>
      </c>
      <c r="E473" s="17" t="n">
        <v>15</v>
      </c>
      <c r="F473" s="18" t="n">
        <v>60</v>
      </c>
      <c r="G473" s="19" t="n">
        <v>0.05</v>
      </c>
      <c r="H473" s="18" t="n">
        <v>855</v>
      </c>
      <c r="I473" s="20"/>
    </row>
    <row r="474" customFormat="false" ht="15" hidden="false" customHeight="false" outlineLevel="0" collapsed="false">
      <c r="A474" s="16" t="n">
        <v>45796</v>
      </c>
      <c r="B474" s="17" t="s">
        <v>567</v>
      </c>
      <c r="C474" s="17" t="s">
        <v>73</v>
      </c>
      <c r="D474" s="17" t="s">
        <v>92</v>
      </c>
      <c r="E474" s="17" t="n">
        <v>6</v>
      </c>
      <c r="F474" s="18" t="n">
        <v>1450</v>
      </c>
      <c r="G474" s="19" t="n">
        <v>0.05</v>
      </c>
      <c r="H474" s="18" t="n">
        <v>8265</v>
      </c>
      <c r="I474" s="20"/>
    </row>
    <row r="475" customFormat="false" ht="15" hidden="false" customHeight="false" outlineLevel="0" collapsed="false">
      <c r="A475" s="16" t="n">
        <v>45796</v>
      </c>
      <c r="B475" s="17" t="s">
        <v>568</v>
      </c>
      <c r="C475" s="17" t="s">
        <v>75</v>
      </c>
      <c r="D475" s="17" t="s">
        <v>102</v>
      </c>
      <c r="E475" s="17" t="n">
        <v>16</v>
      </c>
      <c r="F475" s="18" t="n">
        <v>120</v>
      </c>
      <c r="G475" s="19" t="n">
        <v>0</v>
      </c>
      <c r="H475" s="18" t="n">
        <v>1920</v>
      </c>
      <c r="I475" s="20"/>
    </row>
    <row r="476" customFormat="false" ht="15" hidden="false" customHeight="false" outlineLevel="0" collapsed="false">
      <c r="A476" s="16" t="n">
        <v>45796</v>
      </c>
      <c r="B476" s="17" t="s">
        <v>569</v>
      </c>
      <c r="C476" s="17" t="s">
        <v>75</v>
      </c>
      <c r="D476" s="17" t="s">
        <v>102</v>
      </c>
      <c r="E476" s="17" t="n">
        <v>4</v>
      </c>
      <c r="F476" s="18" t="n">
        <v>120</v>
      </c>
      <c r="G476" s="19" t="n">
        <v>0.05</v>
      </c>
      <c r="H476" s="18" t="n">
        <v>456</v>
      </c>
      <c r="I476" s="20"/>
    </row>
    <row r="477" customFormat="false" ht="15" hidden="false" customHeight="false" outlineLevel="0" collapsed="false">
      <c r="A477" s="16" t="n">
        <v>45797</v>
      </c>
      <c r="B477" s="17" t="s">
        <v>570</v>
      </c>
      <c r="C477" s="17" t="s">
        <v>81</v>
      </c>
      <c r="D477" s="17" t="s">
        <v>102</v>
      </c>
      <c r="E477" s="17" t="n">
        <v>13</v>
      </c>
      <c r="F477" s="18" t="n">
        <v>60</v>
      </c>
      <c r="G477" s="19" t="n">
        <v>0</v>
      </c>
      <c r="H477" s="18" t="n">
        <v>780</v>
      </c>
      <c r="I477" s="20"/>
    </row>
    <row r="478" customFormat="false" ht="15" hidden="false" customHeight="false" outlineLevel="0" collapsed="false">
      <c r="A478" s="16" t="n">
        <v>45797</v>
      </c>
      <c r="B478" s="17" t="s">
        <v>571</v>
      </c>
      <c r="C478" s="17" t="s">
        <v>81</v>
      </c>
      <c r="D478" s="17" t="s">
        <v>102</v>
      </c>
      <c r="E478" s="17" t="n">
        <v>2</v>
      </c>
      <c r="F478" s="18" t="n">
        <v>60</v>
      </c>
      <c r="G478" s="19" t="n">
        <v>0.05</v>
      </c>
      <c r="H478" s="18" t="n">
        <v>114</v>
      </c>
      <c r="I478" s="20"/>
    </row>
    <row r="479" customFormat="false" ht="15" hidden="false" customHeight="false" outlineLevel="0" collapsed="false">
      <c r="A479" s="16" t="n">
        <v>45798</v>
      </c>
      <c r="B479" s="17" t="s">
        <v>572</v>
      </c>
      <c r="C479" s="17" t="s">
        <v>78</v>
      </c>
      <c r="D479" s="17" t="s">
        <v>102</v>
      </c>
      <c r="E479" s="17" t="n">
        <v>20</v>
      </c>
      <c r="F479" s="18" t="n">
        <v>95</v>
      </c>
      <c r="G479" s="19" t="n">
        <v>0</v>
      </c>
      <c r="H479" s="18" t="n">
        <v>1900</v>
      </c>
      <c r="I479" s="20"/>
    </row>
    <row r="480" customFormat="false" ht="15" hidden="false" customHeight="false" outlineLevel="0" collapsed="false">
      <c r="A480" s="16" t="n">
        <v>45798</v>
      </c>
      <c r="B480" s="17" t="s">
        <v>573</v>
      </c>
      <c r="C480" s="17" t="s">
        <v>73</v>
      </c>
      <c r="D480" s="17" t="s">
        <v>96</v>
      </c>
      <c r="E480" s="17" t="n">
        <v>4</v>
      </c>
      <c r="F480" s="18" t="n">
        <v>1450</v>
      </c>
      <c r="G480" s="19" t="n">
        <v>0.05</v>
      </c>
      <c r="H480" s="18" t="n">
        <v>5510</v>
      </c>
      <c r="I480" s="20"/>
    </row>
    <row r="481" customFormat="false" ht="15" hidden="false" customHeight="false" outlineLevel="0" collapsed="false">
      <c r="A481" s="16" t="n">
        <v>45798</v>
      </c>
      <c r="B481" s="17" t="s">
        <v>574</v>
      </c>
      <c r="C481" s="17" t="s">
        <v>73</v>
      </c>
      <c r="D481" s="17" t="s">
        <v>96</v>
      </c>
      <c r="E481" s="17" t="n">
        <v>7</v>
      </c>
      <c r="F481" s="18" t="n">
        <v>1450</v>
      </c>
      <c r="G481" s="19" t="n">
        <v>0.05</v>
      </c>
      <c r="H481" s="18" t="n">
        <v>9642.5</v>
      </c>
      <c r="I481" s="20"/>
    </row>
    <row r="482" customFormat="false" ht="15" hidden="false" customHeight="false" outlineLevel="0" collapsed="false">
      <c r="A482" s="16" t="n">
        <v>45798</v>
      </c>
      <c r="B482" s="17" t="s">
        <v>575</v>
      </c>
      <c r="C482" s="17" t="s">
        <v>75</v>
      </c>
      <c r="D482" s="17" t="s">
        <v>92</v>
      </c>
      <c r="E482" s="17" t="n">
        <v>7</v>
      </c>
      <c r="F482" s="18" t="n">
        <v>120</v>
      </c>
      <c r="G482" s="19" t="n">
        <v>0</v>
      </c>
      <c r="H482" s="18" t="n">
        <v>840</v>
      </c>
      <c r="I482" s="20"/>
    </row>
    <row r="483" customFormat="false" ht="15" hidden="false" customHeight="false" outlineLevel="0" collapsed="false">
      <c r="A483" s="16" t="n">
        <v>45798</v>
      </c>
      <c r="B483" s="17" t="s">
        <v>576</v>
      </c>
      <c r="C483" s="17" t="s">
        <v>81</v>
      </c>
      <c r="D483" s="17" t="s">
        <v>92</v>
      </c>
      <c r="E483" s="17" t="n">
        <v>3</v>
      </c>
      <c r="F483" s="18" t="n">
        <v>60</v>
      </c>
      <c r="G483" s="19" t="n">
        <v>0.1</v>
      </c>
      <c r="H483" s="18" t="n">
        <v>162</v>
      </c>
      <c r="I483" s="20"/>
    </row>
    <row r="484" customFormat="false" ht="15" hidden="false" customHeight="false" outlineLevel="0" collapsed="false">
      <c r="A484" s="16" t="n">
        <v>45799</v>
      </c>
      <c r="B484" s="17" t="s">
        <v>577</v>
      </c>
      <c r="C484" s="17" t="s">
        <v>70</v>
      </c>
      <c r="D484" s="17" t="s">
        <v>102</v>
      </c>
      <c r="E484" s="17" t="n">
        <v>5</v>
      </c>
      <c r="F484" s="18" t="n">
        <v>850</v>
      </c>
      <c r="G484" s="19" t="n">
        <v>0.1</v>
      </c>
      <c r="H484" s="18" t="n">
        <v>3825</v>
      </c>
      <c r="I484" s="20"/>
    </row>
    <row r="485" customFormat="false" ht="15" hidden="false" customHeight="false" outlineLevel="0" collapsed="false">
      <c r="A485" s="16" t="n">
        <v>45800</v>
      </c>
      <c r="B485" s="17" t="s">
        <v>578</v>
      </c>
      <c r="C485" s="17" t="s">
        <v>75</v>
      </c>
      <c r="D485" s="17" t="s">
        <v>96</v>
      </c>
      <c r="E485" s="17" t="n">
        <v>9</v>
      </c>
      <c r="F485" s="18" t="n">
        <v>120</v>
      </c>
      <c r="G485" s="19" t="n">
        <v>0</v>
      </c>
      <c r="H485" s="18" t="n">
        <v>1080</v>
      </c>
      <c r="I485" s="20"/>
    </row>
    <row r="486" customFormat="false" ht="15" hidden="false" customHeight="false" outlineLevel="0" collapsed="false">
      <c r="A486" s="16" t="n">
        <v>45800</v>
      </c>
      <c r="B486" s="17" t="s">
        <v>579</v>
      </c>
      <c r="C486" s="17" t="s">
        <v>73</v>
      </c>
      <c r="D486" s="17" t="s">
        <v>102</v>
      </c>
      <c r="E486" s="17" t="n">
        <v>9</v>
      </c>
      <c r="F486" s="18" t="n">
        <v>1450</v>
      </c>
      <c r="G486" s="19" t="n">
        <v>0</v>
      </c>
      <c r="H486" s="18" t="n">
        <v>13050</v>
      </c>
      <c r="I486" s="20"/>
    </row>
    <row r="487" customFormat="false" ht="15" hidden="false" customHeight="false" outlineLevel="0" collapsed="false">
      <c r="A487" s="16" t="n">
        <v>45800</v>
      </c>
      <c r="B487" s="17" t="s">
        <v>580</v>
      </c>
      <c r="C487" s="17" t="s">
        <v>70</v>
      </c>
      <c r="D487" s="17" t="s">
        <v>96</v>
      </c>
      <c r="E487" s="17" t="n">
        <v>16</v>
      </c>
      <c r="F487" s="18" t="n">
        <v>850</v>
      </c>
      <c r="G487" s="19" t="n">
        <v>0</v>
      </c>
      <c r="H487" s="18" t="n">
        <v>13600</v>
      </c>
      <c r="I487" s="20"/>
    </row>
    <row r="488" customFormat="false" ht="15" hidden="false" customHeight="false" outlineLevel="0" collapsed="false">
      <c r="A488" s="16" t="n">
        <v>45800</v>
      </c>
      <c r="B488" s="17" t="s">
        <v>581</v>
      </c>
      <c r="C488" s="17" t="s">
        <v>78</v>
      </c>
      <c r="D488" s="17" t="s">
        <v>92</v>
      </c>
      <c r="E488" s="17" t="n">
        <v>13</v>
      </c>
      <c r="F488" s="18" t="n">
        <v>95</v>
      </c>
      <c r="G488" s="19" t="n">
        <v>0</v>
      </c>
      <c r="H488" s="18" t="n">
        <v>1235</v>
      </c>
      <c r="I488" s="20"/>
    </row>
    <row r="489" customFormat="false" ht="15" hidden="false" customHeight="false" outlineLevel="0" collapsed="false">
      <c r="A489" s="16" t="n">
        <v>45801</v>
      </c>
      <c r="B489" s="17" t="s">
        <v>582</v>
      </c>
      <c r="C489" s="17" t="s">
        <v>75</v>
      </c>
      <c r="D489" s="17" t="s">
        <v>92</v>
      </c>
      <c r="E489" s="17" t="n">
        <v>11</v>
      </c>
      <c r="F489" s="18" t="n">
        <v>120</v>
      </c>
      <c r="G489" s="19" t="n">
        <v>0</v>
      </c>
      <c r="H489" s="18" t="n">
        <v>1320</v>
      </c>
      <c r="I489" s="20"/>
    </row>
    <row r="490" customFormat="false" ht="15" hidden="false" customHeight="false" outlineLevel="0" collapsed="false">
      <c r="A490" s="16" t="n">
        <v>45801</v>
      </c>
      <c r="B490" s="17" t="s">
        <v>583</v>
      </c>
      <c r="C490" s="17" t="s">
        <v>78</v>
      </c>
      <c r="D490" s="17" t="s">
        <v>96</v>
      </c>
      <c r="E490" s="17" t="n">
        <v>12</v>
      </c>
      <c r="F490" s="18" t="n">
        <v>95</v>
      </c>
      <c r="G490" s="19" t="n">
        <v>0.05</v>
      </c>
      <c r="H490" s="18" t="n">
        <v>1083</v>
      </c>
      <c r="I490" s="20"/>
    </row>
    <row r="491" customFormat="false" ht="15" hidden="false" customHeight="false" outlineLevel="0" collapsed="false">
      <c r="A491" s="16" t="n">
        <v>45802</v>
      </c>
      <c r="B491" s="17" t="s">
        <v>584</v>
      </c>
      <c r="C491" s="17" t="s">
        <v>75</v>
      </c>
      <c r="D491" s="17" t="s">
        <v>102</v>
      </c>
      <c r="E491" s="17" t="n">
        <v>6</v>
      </c>
      <c r="F491" s="18" t="n">
        <v>120</v>
      </c>
      <c r="G491" s="19" t="n">
        <v>0.1</v>
      </c>
      <c r="H491" s="18" t="n">
        <v>648</v>
      </c>
      <c r="I491" s="20"/>
    </row>
    <row r="492" customFormat="false" ht="15" hidden="false" customHeight="false" outlineLevel="0" collapsed="false">
      <c r="A492" s="16" t="n">
        <v>45803</v>
      </c>
      <c r="B492" s="17" t="s">
        <v>585</v>
      </c>
      <c r="C492" s="17" t="s">
        <v>73</v>
      </c>
      <c r="D492" s="17" t="s">
        <v>92</v>
      </c>
      <c r="E492" s="17" t="n">
        <v>7</v>
      </c>
      <c r="F492" s="18" t="n">
        <v>1450</v>
      </c>
      <c r="G492" s="19" t="n">
        <v>0</v>
      </c>
      <c r="H492" s="18" t="n">
        <v>10150</v>
      </c>
      <c r="I492" s="20"/>
    </row>
    <row r="493" customFormat="false" ht="15" hidden="false" customHeight="false" outlineLevel="0" collapsed="false">
      <c r="A493" s="16" t="n">
        <v>45803</v>
      </c>
      <c r="B493" s="17" t="s">
        <v>586</v>
      </c>
      <c r="C493" s="17" t="s">
        <v>75</v>
      </c>
      <c r="D493" s="17" t="s">
        <v>102</v>
      </c>
      <c r="E493" s="17" t="n">
        <v>1</v>
      </c>
      <c r="F493" s="18" t="n">
        <v>120</v>
      </c>
      <c r="G493" s="19" t="n">
        <v>0.05</v>
      </c>
      <c r="H493" s="18" t="n">
        <v>114</v>
      </c>
      <c r="I493" s="20"/>
    </row>
    <row r="494" customFormat="false" ht="15" hidden="false" customHeight="false" outlineLevel="0" collapsed="false">
      <c r="A494" s="16" t="n">
        <v>45804</v>
      </c>
      <c r="B494" s="17" t="s">
        <v>587</v>
      </c>
      <c r="C494" s="17" t="s">
        <v>81</v>
      </c>
      <c r="D494" s="17" t="s">
        <v>92</v>
      </c>
      <c r="E494" s="17" t="n">
        <v>10</v>
      </c>
      <c r="F494" s="18" t="n">
        <v>60</v>
      </c>
      <c r="G494" s="19" t="n">
        <v>0</v>
      </c>
      <c r="H494" s="18" t="n">
        <v>600</v>
      </c>
      <c r="I494" s="20"/>
    </row>
    <row r="495" customFormat="false" ht="15" hidden="false" customHeight="false" outlineLevel="0" collapsed="false">
      <c r="A495" s="16" t="n">
        <v>45804</v>
      </c>
      <c r="B495" s="17" t="s">
        <v>588</v>
      </c>
      <c r="C495" s="17" t="s">
        <v>81</v>
      </c>
      <c r="D495" s="17" t="s">
        <v>92</v>
      </c>
      <c r="E495" s="17" t="n">
        <v>14</v>
      </c>
      <c r="F495" s="18" t="n">
        <v>60</v>
      </c>
      <c r="G495" s="19" t="n">
        <v>0</v>
      </c>
      <c r="H495" s="18" t="n">
        <v>840</v>
      </c>
      <c r="I495" s="20"/>
    </row>
    <row r="496" customFormat="false" ht="15" hidden="false" customHeight="false" outlineLevel="0" collapsed="false">
      <c r="A496" s="16" t="n">
        <v>45804</v>
      </c>
      <c r="B496" s="17" t="s">
        <v>589</v>
      </c>
      <c r="C496" s="17" t="s">
        <v>70</v>
      </c>
      <c r="D496" s="17" t="s">
        <v>92</v>
      </c>
      <c r="E496" s="17" t="n">
        <v>8</v>
      </c>
      <c r="F496" s="18" t="n">
        <v>850</v>
      </c>
      <c r="G496" s="19" t="n">
        <v>0</v>
      </c>
      <c r="H496" s="18" t="n">
        <v>6800</v>
      </c>
      <c r="I496" s="20"/>
    </row>
    <row r="497" customFormat="false" ht="15" hidden="false" customHeight="false" outlineLevel="0" collapsed="false">
      <c r="A497" s="16" t="n">
        <v>45804</v>
      </c>
      <c r="B497" s="17" t="s">
        <v>590</v>
      </c>
      <c r="C497" s="17" t="s">
        <v>78</v>
      </c>
      <c r="D497" s="17" t="s">
        <v>96</v>
      </c>
      <c r="E497" s="17" t="n">
        <v>20</v>
      </c>
      <c r="F497" s="18" t="n">
        <v>95</v>
      </c>
      <c r="G497" s="19" t="n">
        <v>0</v>
      </c>
      <c r="H497" s="18" t="n">
        <v>1900</v>
      </c>
      <c r="I497" s="20"/>
    </row>
    <row r="498" customFormat="false" ht="15" hidden="false" customHeight="false" outlineLevel="0" collapsed="false">
      <c r="A498" s="16" t="n">
        <v>45805</v>
      </c>
      <c r="B498" s="17" t="s">
        <v>591</v>
      </c>
      <c r="C498" s="17" t="s">
        <v>81</v>
      </c>
      <c r="D498" s="17" t="s">
        <v>92</v>
      </c>
      <c r="E498" s="17" t="n">
        <v>6</v>
      </c>
      <c r="F498" s="18" t="n">
        <v>60</v>
      </c>
      <c r="G498" s="19" t="n">
        <v>0</v>
      </c>
      <c r="H498" s="18" t="n">
        <v>360</v>
      </c>
      <c r="I498" s="20"/>
    </row>
    <row r="499" customFormat="false" ht="15" hidden="false" customHeight="false" outlineLevel="0" collapsed="false">
      <c r="A499" s="16" t="n">
        <v>45809</v>
      </c>
      <c r="B499" s="17" t="s">
        <v>592</v>
      </c>
      <c r="C499" s="17" t="s">
        <v>70</v>
      </c>
      <c r="D499" s="17" t="s">
        <v>96</v>
      </c>
      <c r="E499" s="17" t="n">
        <v>19</v>
      </c>
      <c r="F499" s="18" t="n">
        <v>850</v>
      </c>
      <c r="G499" s="19" t="n">
        <v>0</v>
      </c>
      <c r="H499" s="18" t="n">
        <v>16150</v>
      </c>
      <c r="I499" s="20"/>
    </row>
    <row r="500" customFormat="false" ht="15" hidden="false" customHeight="false" outlineLevel="0" collapsed="false">
      <c r="A500" s="16" t="n">
        <v>45809</v>
      </c>
      <c r="B500" s="17" t="s">
        <v>593</v>
      </c>
      <c r="C500" s="17" t="s">
        <v>75</v>
      </c>
      <c r="D500" s="17" t="s">
        <v>96</v>
      </c>
      <c r="E500" s="17" t="n">
        <v>19</v>
      </c>
      <c r="F500" s="18" t="n">
        <v>120</v>
      </c>
      <c r="G500" s="19" t="n">
        <v>0</v>
      </c>
      <c r="H500" s="18" t="n">
        <v>2280</v>
      </c>
      <c r="I500" s="20"/>
    </row>
    <row r="501" customFormat="false" ht="15" hidden="false" customHeight="false" outlineLevel="0" collapsed="false">
      <c r="A501" s="16" t="n">
        <v>45809</v>
      </c>
      <c r="B501" s="17" t="s">
        <v>594</v>
      </c>
      <c r="C501" s="17" t="s">
        <v>78</v>
      </c>
      <c r="D501" s="17" t="s">
        <v>96</v>
      </c>
      <c r="E501" s="17" t="n">
        <v>2</v>
      </c>
      <c r="F501" s="18" t="n">
        <v>95</v>
      </c>
      <c r="G501" s="19" t="n">
        <v>0</v>
      </c>
      <c r="H501" s="18" t="n">
        <v>190</v>
      </c>
      <c r="I501" s="20"/>
    </row>
    <row r="502" customFormat="false" ht="15" hidden="false" customHeight="false" outlineLevel="0" collapsed="false">
      <c r="A502" s="16" t="n">
        <v>45811</v>
      </c>
      <c r="B502" s="17" t="s">
        <v>595</v>
      </c>
      <c r="C502" s="17" t="s">
        <v>78</v>
      </c>
      <c r="D502" s="17" t="s">
        <v>98</v>
      </c>
      <c r="E502" s="17" t="n">
        <v>15</v>
      </c>
      <c r="F502" s="18" t="n">
        <v>95</v>
      </c>
      <c r="G502" s="19" t="n">
        <v>0</v>
      </c>
      <c r="H502" s="18" t="n">
        <v>1425</v>
      </c>
      <c r="I502" s="20"/>
    </row>
    <row r="503" customFormat="false" ht="15" hidden="false" customHeight="false" outlineLevel="0" collapsed="false">
      <c r="A503" s="16" t="n">
        <v>45811</v>
      </c>
      <c r="B503" s="17" t="s">
        <v>596</v>
      </c>
      <c r="C503" s="17" t="s">
        <v>73</v>
      </c>
      <c r="D503" s="17" t="s">
        <v>98</v>
      </c>
      <c r="E503" s="17" t="n">
        <v>9</v>
      </c>
      <c r="F503" s="18" t="n">
        <v>1450</v>
      </c>
      <c r="G503" s="19" t="n">
        <v>0</v>
      </c>
      <c r="H503" s="18" t="n">
        <v>13050</v>
      </c>
      <c r="I503" s="20"/>
    </row>
    <row r="504" customFormat="false" ht="15" hidden="false" customHeight="false" outlineLevel="0" collapsed="false">
      <c r="A504" s="16" t="n">
        <v>45811</v>
      </c>
      <c r="B504" s="17" t="s">
        <v>597</v>
      </c>
      <c r="C504" s="17" t="s">
        <v>78</v>
      </c>
      <c r="D504" s="17" t="s">
        <v>96</v>
      </c>
      <c r="E504" s="17" t="n">
        <v>11</v>
      </c>
      <c r="F504" s="18" t="n">
        <v>95</v>
      </c>
      <c r="G504" s="19" t="n">
        <v>0.05</v>
      </c>
      <c r="H504" s="18" t="n">
        <v>992.75</v>
      </c>
      <c r="I504" s="20"/>
    </row>
    <row r="505" customFormat="false" ht="15" hidden="false" customHeight="false" outlineLevel="0" collapsed="false">
      <c r="A505" s="16" t="n">
        <v>45812</v>
      </c>
      <c r="B505" s="17" t="s">
        <v>598</v>
      </c>
      <c r="C505" s="17" t="s">
        <v>81</v>
      </c>
      <c r="D505" s="17" t="s">
        <v>96</v>
      </c>
      <c r="E505" s="17" t="n">
        <v>5</v>
      </c>
      <c r="F505" s="18" t="n">
        <v>60</v>
      </c>
      <c r="G505" s="19" t="n">
        <v>0</v>
      </c>
      <c r="H505" s="18" t="n">
        <v>300</v>
      </c>
      <c r="I505" s="20"/>
    </row>
    <row r="506" customFormat="false" ht="15" hidden="false" customHeight="false" outlineLevel="0" collapsed="false">
      <c r="A506" s="16" t="n">
        <v>45812</v>
      </c>
      <c r="B506" s="17" t="s">
        <v>599</v>
      </c>
      <c r="C506" s="17" t="s">
        <v>70</v>
      </c>
      <c r="D506" s="17" t="s">
        <v>96</v>
      </c>
      <c r="E506" s="17" t="n">
        <v>10</v>
      </c>
      <c r="F506" s="18" t="n">
        <v>850</v>
      </c>
      <c r="G506" s="19" t="n">
        <v>0</v>
      </c>
      <c r="H506" s="18" t="n">
        <v>8500</v>
      </c>
      <c r="I506" s="20"/>
    </row>
    <row r="507" customFormat="false" ht="15" hidden="false" customHeight="false" outlineLevel="0" collapsed="false">
      <c r="A507" s="16" t="n">
        <v>45812</v>
      </c>
      <c r="B507" s="17" t="s">
        <v>600</v>
      </c>
      <c r="C507" s="17" t="s">
        <v>81</v>
      </c>
      <c r="D507" s="17" t="s">
        <v>92</v>
      </c>
      <c r="E507" s="17" t="n">
        <v>8</v>
      </c>
      <c r="F507" s="18" t="n">
        <v>60</v>
      </c>
      <c r="G507" s="19" t="n">
        <v>0</v>
      </c>
      <c r="H507" s="18" t="n">
        <v>480</v>
      </c>
      <c r="I507" s="20"/>
    </row>
    <row r="508" customFormat="false" ht="15" hidden="false" customHeight="false" outlineLevel="0" collapsed="false">
      <c r="A508" s="16" t="n">
        <v>45814</v>
      </c>
      <c r="B508" s="17" t="s">
        <v>601</v>
      </c>
      <c r="C508" s="17" t="s">
        <v>75</v>
      </c>
      <c r="D508" s="17" t="s">
        <v>96</v>
      </c>
      <c r="E508" s="17" t="n">
        <v>10</v>
      </c>
      <c r="F508" s="18" t="n">
        <v>120</v>
      </c>
      <c r="G508" s="19" t="n">
        <v>0.1</v>
      </c>
      <c r="H508" s="18" t="n">
        <v>1080</v>
      </c>
      <c r="I508" s="20"/>
    </row>
    <row r="509" customFormat="false" ht="15" hidden="false" customHeight="false" outlineLevel="0" collapsed="false">
      <c r="A509" s="16" t="n">
        <v>45814</v>
      </c>
      <c r="B509" s="17" t="s">
        <v>602</v>
      </c>
      <c r="C509" s="17" t="s">
        <v>73</v>
      </c>
      <c r="D509" s="17" t="s">
        <v>98</v>
      </c>
      <c r="E509" s="17" t="n">
        <v>20</v>
      </c>
      <c r="F509" s="18" t="n">
        <v>1450</v>
      </c>
      <c r="G509" s="19" t="n">
        <v>0</v>
      </c>
      <c r="H509" s="18" t="n">
        <v>29000</v>
      </c>
      <c r="I509" s="20"/>
    </row>
    <row r="510" customFormat="false" ht="15" hidden="false" customHeight="false" outlineLevel="0" collapsed="false">
      <c r="A510" s="16" t="n">
        <v>45814</v>
      </c>
      <c r="B510" s="17" t="s">
        <v>603</v>
      </c>
      <c r="C510" s="17" t="s">
        <v>78</v>
      </c>
      <c r="D510" s="17" t="s">
        <v>102</v>
      </c>
      <c r="E510" s="17" t="n">
        <v>3</v>
      </c>
      <c r="F510" s="18" t="n">
        <v>95</v>
      </c>
      <c r="G510" s="19" t="n">
        <v>0</v>
      </c>
      <c r="H510" s="18" t="n">
        <v>285</v>
      </c>
      <c r="I510" s="20"/>
    </row>
    <row r="511" customFormat="false" ht="15" hidden="false" customHeight="false" outlineLevel="0" collapsed="false">
      <c r="A511" s="16" t="n">
        <v>45814</v>
      </c>
      <c r="B511" s="17" t="s">
        <v>604</v>
      </c>
      <c r="C511" s="17" t="s">
        <v>78</v>
      </c>
      <c r="D511" s="17" t="s">
        <v>98</v>
      </c>
      <c r="E511" s="17" t="n">
        <v>20</v>
      </c>
      <c r="F511" s="18" t="n">
        <v>95</v>
      </c>
      <c r="G511" s="19" t="n">
        <v>0</v>
      </c>
      <c r="H511" s="18" t="n">
        <v>1900</v>
      </c>
      <c r="I511" s="20"/>
    </row>
    <row r="512" customFormat="false" ht="15" hidden="false" customHeight="false" outlineLevel="0" collapsed="false">
      <c r="A512" s="16" t="n">
        <v>45814</v>
      </c>
      <c r="B512" s="17" t="s">
        <v>605</v>
      </c>
      <c r="C512" s="17" t="s">
        <v>78</v>
      </c>
      <c r="D512" s="17" t="s">
        <v>98</v>
      </c>
      <c r="E512" s="17" t="n">
        <v>3</v>
      </c>
      <c r="F512" s="18" t="n">
        <v>95</v>
      </c>
      <c r="G512" s="19" t="n">
        <v>0</v>
      </c>
      <c r="H512" s="18" t="n">
        <v>285</v>
      </c>
      <c r="I512" s="20"/>
    </row>
    <row r="513" customFormat="false" ht="15" hidden="false" customHeight="false" outlineLevel="0" collapsed="false">
      <c r="A513" s="16" t="n">
        <v>45814</v>
      </c>
      <c r="B513" s="17" t="s">
        <v>606</v>
      </c>
      <c r="C513" s="17" t="s">
        <v>75</v>
      </c>
      <c r="D513" s="17" t="s">
        <v>98</v>
      </c>
      <c r="E513" s="17" t="n">
        <v>4</v>
      </c>
      <c r="F513" s="18" t="n">
        <v>120</v>
      </c>
      <c r="G513" s="19" t="n">
        <v>0</v>
      </c>
      <c r="H513" s="18" t="n">
        <v>480</v>
      </c>
      <c r="I513" s="20"/>
    </row>
    <row r="514" customFormat="false" ht="15" hidden="false" customHeight="false" outlineLevel="0" collapsed="false">
      <c r="A514" s="16" t="n">
        <v>45814</v>
      </c>
      <c r="B514" s="17" t="s">
        <v>607</v>
      </c>
      <c r="C514" s="17" t="s">
        <v>78</v>
      </c>
      <c r="D514" s="17" t="s">
        <v>96</v>
      </c>
      <c r="E514" s="17" t="n">
        <v>18</v>
      </c>
      <c r="F514" s="18" t="n">
        <v>95</v>
      </c>
      <c r="G514" s="19" t="n">
        <v>0</v>
      </c>
      <c r="H514" s="18" t="n">
        <v>1710</v>
      </c>
      <c r="I514" s="20"/>
    </row>
    <row r="515" customFormat="false" ht="15" hidden="false" customHeight="false" outlineLevel="0" collapsed="false">
      <c r="A515" s="16" t="n">
        <v>45815</v>
      </c>
      <c r="B515" s="17" t="s">
        <v>608</v>
      </c>
      <c r="C515" s="17" t="s">
        <v>75</v>
      </c>
      <c r="D515" s="17" t="s">
        <v>98</v>
      </c>
      <c r="E515" s="17" t="n">
        <v>19</v>
      </c>
      <c r="F515" s="18" t="n">
        <v>120</v>
      </c>
      <c r="G515" s="19" t="n">
        <v>0</v>
      </c>
      <c r="H515" s="18" t="n">
        <v>2280</v>
      </c>
      <c r="I515" s="20"/>
    </row>
    <row r="516" customFormat="false" ht="15" hidden="false" customHeight="false" outlineLevel="0" collapsed="false">
      <c r="A516" s="16" t="n">
        <v>45815</v>
      </c>
      <c r="B516" s="17" t="s">
        <v>609</v>
      </c>
      <c r="C516" s="17" t="s">
        <v>70</v>
      </c>
      <c r="D516" s="17" t="s">
        <v>92</v>
      </c>
      <c r="E516" s="17" t="n">
        <v>17</v>
      </c>
      <c r="F516" s="18" t="n">
        <v>850</v>
      </c>
      <c r="G516" s="19" t="n">
        <v>0</v>
      </c>
      <c r="H516" s="18" t="n">
        <v>14450</v>
      </c>
      <c r="I516" s="20"/>
    </row>
    <row r="517" customFormat="false" ht="15" hidden="false" customHeight="false" outlineLevel="0" collapsed="false">
      <c r="A517" s="16" t="n">
        <v>45815</v>
      </c>
      <c r="B517" s="17" t="s">
        <v>610</v>
      </c>
      <c r="C517" s="17" t="s">
        <v>73</v>
      </c>
      <c r="D517" s="17" t="s">
        <v>98</v>
      </c>
      <c r="E517" s="17" t="n">
        <v>15</v>
      </c>
      <c r="F517" s="18" t="n">
        <v>1450</v>
      </c>
      <c r="G517" s="19" t="n">
        <v>0</v>
      </c>
      <c r="H517" s="18" t="n">
        <v>21750</v>
      </c>
      <c r="I517" s="20"/>
    </row>
    <row r="518" customFormat="false" ht="15" hidden="false" customHeight="false" outlineLevel="0" collapsed="false">
      <c r="A518" s="16" t="n">
        <v>45816</v>
      </c>
      <c r="B518" s="17" t="s">
        <v>611</v>
      </c>
      <c r="C518" s="17" t="s">
        <v>73</v>
      </c>
      <c r="D518" s="17" t="s">
        <v>102</v>
      </c>
      <c r="E518" s="17" t="n">
        <v>15</v>
      </c>
      <c r="F518" s="18" t="n">
        <v>1450</v>
      </c>
      <c r="G518" s="19" t="n">
        <v>0</v>
      </c>
      <c r="H518" s="18" t="n">
        <v>21750</v>
      </c>
      <c r="I518" s="20"/>
    </row>
    <row r="519" customFormat="false" ht="15" hidden="false" customHeight="false" outlineLevel="0" collapsed="false">
      <c r="A519" s="16" t="n">
        <v>45816</v>
      </c>
      <c r="B519" s="17" t="s">
        <v>612</v>
      </c>
      <c r="C519" s="17" t="s">
        <v>73</v>
      </c>
      <c r="D519" s="17" t="s">
        <v>98</v>
      </c>
      <c r="E519" s="17" t="n">
        <v>17</v>
      </c>
      <c r="F519" s="18" t="n">
        <v>1450</v>
      </c>
      <c r="G519" s="19" t="n">
        <v>0</v>
      </c>
      <c r="H519" s="18" t="n">
        <v>24650</v>
      </c>
      <c r="I519" s="20"/>
    </row>
    <row r="520" customFormat="false" ht="15" hidden="false" customHeight="false" outlineLevel="0" collapsed="false">
      <c r="A520" s="16" t="n">
        <v>45816</v>
      </c>
      <c r="B520" s="17" t="s">
        <v>613</v>
      </c>
      <c r="C520" s="17" t="s">
        <v>73</v>
      </c>
      <c r="D520" s="17" t="s">
        <v>102</v>
      </c>
      <c r="E520" s="17" t="n">
        <v>14</v>
      </c>
      <c r="F520" s="18" t="n">
        <v>1450</v>
      </c>
      <c r="G520" s="19" t="n">
        <v>0</v>
      </c>
      <c r="H520" s="18" t="n">
        <v>20300</v>
      </c>
      <c r="I520" s="20"/>
    </row>
    <row r="521" customFormat="false" ht="15" hidden="false" customHeight="false" outlineLevel="0" collapsed="false">
      <c r="A521" s="16" t="n">
        <v>45816</v>
      </c>
      <c r="B521" s="17" t="s">
        <v>614</v>
      </c>
      <c r="C521" s="17" t="s">
        <v>70</v>
      </c>
      <c r="D521" s="17" t="s">
        <v>96</v>
      </c>
      <c r="E521" s="17" t="n">
        <v>15</v>
      </c>
      <c r="F521" s="18" t="n">
        <v>850</v>
      </c>
      <c r="G521" s="19" t="n">
        <v>0</v>
      </c>
      <c r="H521" s="18" t="n">
        <v>12750</v>
      </c>
      <c r="I521" s="20"/>
    </row>
    <row r="522" customFormat="false" ht="15" hidden="false" customHeight="false" outlineLevel="0" collapsed="false">
      <c r="A522" s="16" t="n">
        <v>45817</v>
      </c>
      <c r="B522" s="17" t="s">
        <v>615</v>
      </c>
      <c r="C522" s="17" t="s">
        <v>81</v>
      </c>
      <c r="D522" s="17" t="s">
        <v>98</v>
      </c>
      <c r="E522" s="17" t="n">
        <v>2</v>
      </c>
      <c r="F522" s="18" t="n">
        <v>60</v>
      </c>
      <c r="G522" s="19" t="n">
        <v>0.1</v>
      </c>
      <c r="H522" s="18" t="n">
        <v>108</v>
      </c>
      <c r="I522" s="20"/>
    </row>
    <row r="523" customFormat="false" ht="15" hidden="false" customHeight="false" outlineLevel="0" collapsed="false">
      <c r="A523" s="16" t="n">
        <v>45817</v>
      </c>
      <c r="B523" s="17" t="s">
        <v>616</v>
      </c>
      <c r="C523" s="17" t="s">
        <v>75</v>
      </c>
      <c r="D523" s="17" t="s">
        <v>102</v>
      </c>
      <c r="E523" s="17" t="n">
        <v>12</v>
      </c>
      <c r="F523" s="18" t="n">
        <v>120</v>
      </c>
      <c r="G523" s="19" t="n">
        <v>0</v>
      </c>
      <c r="H523" s="18" t="n">
        <v>1440</v>
      </c>
      <c r="I523" s="20"/>
    </row>
    <row r="524" customFormat="false" ht="15" hidden="false" customHeight="false" outlineLevel="0" collapsed="false">
      <c r="A524" s="16" t="n">
        <v>45817</v>
      </c>
      <c r="B524" s="17" t="s">
        <v>617</v>
      </c>
      <c r="C524" s="17" t="s">
        <v>78</v>
      </c>
      <c r="D524" s="17" t="s">
        <v>98</v>
      </c>
      <c r="E524" s="17" t="n">
        <v>20</v>
      </c>
      <c r="F524" s="18" t="n">
        <v>95</v>
      </c>
      <c r="G524" s="19" t="n">
        <v>0.05</v>
      </c>
      <c r="H524" s="18" t="n">
        <v>1805</v>
      </c>
      <c r="I524" s="20"/>
    </row>
    <row r="525" customFormat="false" ht="15" hidden="false" customHeight="false" outlineLevel="0" collapsed="false">
      <c r="A525" s="16" t="n">
        <v>45817</v>
      </c>
      <c r="B525" s="17" t="s">
        <v>618</v>
      </c>
      <c r="C525" s="17" t="s">
        <v>78</v>
      </c>
      <c r="D525" s="17" t="s">
        <v>92</v>
      </c>
      <c r="E525" s="17" t="n">
        <v>4</v>
      </c>
      <c r="F525" s="18" t="n">
        <v>95</v>
      </c>
      <c r="G525" s="19" t="n">
        <v>0.1</v>
      </c>
      <c r="H525" s="18" t="n">
        <v>342</v>
      </c>
      <c r="I525" s="20"/>
    </row>
    <row r="526" customFormat="false" ht="15" hidden="false" customHeight="false" outlineLevel="0" collapsed="false">
      <c r="A526" s="16" t="n">
        <v>45818</v>
      </c>
      <c r="B526" s="17" t="s">
        <v>619</v>
      </c>
      <c r="C526" s="17" t="s">
        <v>78</v>
      </c>
      <c r="D526" s="17" t="s">
        <v>98</v>
      </c>
      <c r="E526" s="17" t="n">
        <v>7</v>
      </c>
      <c r="F526" s="18" t="n">
        <v>95</v>
      </c>
      <c r="G526" s="19" t="n">
        <v>0</v>
      </c>
      <c r="H526" s="18" t="n">
        <v>665</v>
      </c>
      <c r="I526" s="20"/>
    </row>
    <row r="527" customFormat="false" ht="15" hidden="false" customHeight="false" outlineLevel="0" collapsed="false">
      <c r="A527" s="16" t="n">
        <v>45818</v>
      </c>
      <c r="B527" s="17" t="s">
        <v>620</v>
      </c>
      <c r="C527" s="17" t="s">
        <v>73</v>
      </c>
      <c r="D527" s="17" t="s">
        <v>98</v>
      </c>
      <c r="E527" s="17" t="n">
        <v>4</v>
      </c>
      <c r="F527" s="18" t="n">
        <v>1450</v>
      </c>
      <c r="G527" s="19" t="n">
        <v>0</v>
      </c>
      <c r="H527" s="18" t="n">
        <v>5800</v>
      </c>
      <c r="I527" s="20"/>
    </row>
    <row r="528" customFormat="false" ht="15" hidden="false" customHeight="false" outlineLevel="0" collapsed="false">
      <c r="A528" s="16" t="n">
        <v>45818</v>
      </c>
      <c r="B528" s="17" t="s">
        <v>621</v>
      </c>
      <c r="C528" s="17" t="s">
        <v>73</v>
      </c>
      <c r="D528" s="17" t="s">
        <v>102</v>
      </c>
      <c r="E528" s="17" t="n">
        <v>7</v>
      </c>
      <c r="F528" s="18" t="n">
        <v>1450</v>
      </c>
      <c r="G528" s="19" t="n">
        <v>0.05</v>
      </c>
      <c r="H528" s="18" t="n">
        <v>9642.5</v>
      </c>
      <c r="I528" s="20"/>
    </row>
    <row r="529" customFormat="false" ht="15" hidden="false" customHeight="false" outlineLevel="0" collapsed="false">
      <c r="A529" s="16" t="n">
        <v>45818</v>
      </c>
      <c r="B529" s="17" t="s">
        <v>622</v>
      </c>
      <c r="C529" s="17" t="s">
        <v>70</v>
      </c>
      <c r="D529" s="17" t="s">
        <v>92</v>
      </c>
      <c r="E529" s="17" t="n">
        <v>10</v>
      </c>
      <c r="F529" s="18" t="n">
        <v>850</v>
      </c>
      <c r="G529" s="19" t="n">
        <v>0.1</v>
      </c>
      <c r="H529" s="18" t="n">
        <v>7650</v>
      </c>
      <c r="I529" s="20"/>
    </row>
    <row r="530" customFormat="false" ht="15" hidden="false" customHeight="false" outlineLevel="0" collapsed="false">
      <c r="A530" s="16" t="n">
        <v>45819</v>
      </c>
      <c r="B530" s="17" t="s">
        <v>623</v>
      </c>
      <c r="C530" s="17" t="s">
        <v>73</v>
      </c>
      <c r="D530" s="17" t="s">
        <v>92</v>
      </c>
      <c r="E530" s="17" t="n">
        <v>11</v>
      </c>
      <c r="F530" s="18" t="n">
        <v>1450</v>
      </c>
      <c r="G530" s="19" t="n">
        <v>0.1</v>
      </c>
      <c r="H530" s="18" t="n">
        <v>14355</v>
      </c>
      <c r="I530" s="20"/>
    </row>
    <row r="531" customFormat="false" ht="15" hidden="false" customHeight="false" outlineLevel="0" collapsed="false">
      <c r="A531" s="16" t="n">
        <v>45819</v>
      </c>
      <c r="B531" s="17" t="s">
        <v>624</v>
      </c>
      <c r="C531" s="17" t="s">
        <v>81</v>
      </c>
      <c r="D531" s="17" t="s">
        <v>96</v>
      </c>
      <c r="E531" s="17" t="n">
        <v>2</v>
      </c>
      <c r="F531" s="18" t="n">
        <v>60</v>
      </c>
      <c r="G531" s="19" t="n">
        <v>0.05</v>
      </c>
      <c r="H531" s="18" t="n">
        <v>114</v>
      </c>
      <c r="I531" s="20"/>
    </row>
    <row r="532" customFormat="false" ht="15" hidden="false" customHeight="false" outlineLevel="0" collapsed="false">
      <c r="A532" s="16" t="n">
        <v>45819</v>
      </c>
      <c r="B532" s="17" t="s">
        <v>625</v>
      </c>
      <c r="C532" s="17" t="s">
        <v>73</v>
      </c>
      <c r="D532" s="17" t="s">
        <v>96</v>
      </c>
      <c r="E532" s="17" t="n">
        <v>15</v>
      </c>
      <c r="F532" s="18" t="n">
        <v>1450</v>
      </c>
      <c r="G532" s="19" t="n">
        <v>0</v>
      </c>
      <c r="H532" s="18" t="n">
        <v>21750</v>
      </c>
      <c r="I532" s="20"/>
    </row>
    <row r="533" customFormat="false" ht="15" hidden="false" customHeight="false" outlineLevel="0" collapsed="false">
      <c r="A533" s="16" t="n">
        <v>45819</v>
      </c>
      <c r="B533" s="17" t="s">
        <v>626</v>
      </c>
      <c r="C533" s="17" t="s">
        <v>73</v>
      </c>
      <c r="D533" s="17" t="s">
        <v>98</v>
      </c>
      <c r="E533" s="17" t="n">
        <v>16</v>
      </c>
      <c r="F533" s="18" t="n">
        <v>1450</v>
      </c>
      <c r="G533" s="19" t="n">
        <v>0</v>
      </c>
      <c r="H533" s="18" t="n">
        <v>23200</v>
      </c>
      <c r="I533" s="20"/>
    </row>
    <row r="534" customFormat="false" ht="15" hidden="false" customHeight="false" outlineLevel="0" collapsed="false">
      <c r="A534" s="16" t="n">
        <v>45819</v>
      </c>
      <c r="B534" s="17" t="s">
        <v>627</v>
      </c>
      <c r="C534" s="17" t="s">
        <v>75</v>
      </c>
      <c r="D534" s="17" t="s">
        <v>92</v>
      </c>
      <c r="E534" s="17" t="n">
        <v>15</v>
      </c>
      <c r="F534" s="18" t="n">
        <v>120</v>
      </c>
      <c r="G534" s="19" t="n">
        <v>0</v>
      </c>
      <c r="H534" s="18" t="n">
        <v>1800</v>
      </c>
      <c r="I534" s="20"/>
    </row>
    <row r="535" customFormat="false" ht="15" hidden="false" customHeight="false" outlineLevel="0" collapsed="false">
      <c r="A535" s="16" t="n">
        <v>45819</v>
      </c>
      <c r="B535" s="17" t="s">
        <v>628</v>
      </c>
      <c r="C535" s="17" t="s">
        <v>75</v>
      </c>
      <c r="D535" s="17" t="s">
        <v>98</v>
      </c>
      <c r="E535" s="17" t="n">
        <v>16</v>
      </c>
      <c r="F535" s="18" t="n">
        <v>120</v>
      </c>
      <c r="G535" s="19" t="n">
        <v>0.05</v>
      </c>
      <c r="H535" s="18" t="n">
        <v>1824</v>
      </c>
      <c r="I535" s="20"/>
    </row>
    <row r="536" customFormat="false" ht="15" hidden="false" customHeight="false" outlineLevel="0" collapsed="false">
      <c r="A536" s="16" t="n">
        <v>45820</v>
      </c>
      <c r="B536" s="17" t="s">
        <v>629</v>
      </c>
      <c r="C536" s="17" t="s">
        <v>81</v>
      </c>
      <c r="D536" s="17" t="s">
        <v>96</v>
      </c>
      <c r="E536" s="17" t="n">
        <v>2</v>
      </c>
      <c r="F536" s="18" t="n">
        <v>60</v>
      </c>
      <c r="G536" s="19" t="n">
        <v>0</v>
      </c>
      <c r="H536" s="18" t="n">
        <v>120</v>
      </c>
      <c r="I536" s="20"/>
    </row>
    <row r="537" customFormat="false" ht="15" hidden="false" customHeight="false" outlineLevel="0" collapsed="false">
      <c r="A537" s="16" t="n">
        <v>45820</v>
      </c>
      <c r="B537" s="17" t="s">
        <v>630</v>
      </c>
      <c r="C537" s="17" t="s">
        <v>75</v>
      </c>
      <c r="D537" s="17" t="s">
        <v>102</v>
      </c>
      <c r="E537" s="17" t="n">
        <v>8</v>
      </c>
      <c r="F537" s="18" t="n">
        <v>120</v>
      </c>
      <c r="G537" s="19" t="n">
        <v>0</v>
      </c>
      <c r="H537" s="18" t="n">
        <v>960</v>
      </c>
      <c r="I537" s="20"/>
    </row>
    <row r="538" customFormat="false" ht="15" hidden="false" customHeight="false" outlineLevel="0" collapsed="false">
      <c r="A538" s="16" t="n">
        <v>45820</v>
      </c>
      <c r="B538" s="17" t="s">
        <v>631</v>
      </c>
      <c r="C538" s="17" t="s">
        <v>81</v>
      </c>
      <c r="D538" s="17" t="s">
        <v>102</v>
      </c>
      <c r="E538" s="17" t="n">
        <v>3</v>
      </c>
      <c r="F538" s="18" t="n">
        <v>60</v>
      </c>
      <c r="G538" s="19" t="n">
        <v>0.1</v>
      </c>
      <c r="H538" s="18" t="n">
        <v>162</v>
      </c>
      <c r="I538" s="20"/>
    </row>
    <row r="539" customFormat="false" ht="15" hidden="false" customHeight="false" outlineLevel="0" collapsed="false">
      <c r="A539" s="16" t="n">
        <v>45820</v>
      </c>
      <c r="B539" s="17" t="s">
        <v>632</v>
      </c>
      <c r="C539" s="17" t="s">
        <v>73</v>
      </c>
      <c r="D539" s="17" t="s">
        <v>96</v>
      </c>
      <c r="E539" s="17" t="n">
        <v>6</v>
      </c>
      <c r="F539" s="18" t="n">
        <v>1450</v>
      </c>
      <c r="G539" s="19" t="n">
        <v>0</v>
      </c>
      <c r="H539" s="18" t="n">
        <v>8700</v>
      </c>
      <c r="I539" s="20"/>
    </row>
    <row r="540" customFormat="false" ht="15" hidden="false" customHeight="false" outlineLevel="0" collapsed="false">
      <c r="A540" s="16" t="n">
        <v>45821</v>
      </c>
      <c r="B540" s="17" t="s">
        <v>633</v>
      </c>
      <c r="C540" s="17" t="s">
        <v>78</v>
      </c>
      <c r="D540" s="17" t="s">
        <v>92</v>
      </c>
      <c r="E540" s="17" t="n">
        <v>10</v>
      </c>
      <c r="F540" s="18" t="n">
        <v>95</v>
      </c>
      <c r="G540" s="19" t="n">
        <v>0.05</v>
      </c>
      <c r="H540" s="18" t="n">
        <v>902.5</v>
      </c>
      <c r="I540" s="20"/>
    </row>
    <row r="541" customFormat="false" ht="15" hidden="false" customHeight="false" outlineLevel="0" collapsed="false">
      <c r="A541" s="16" t="n">
        <v>45821</v>
      </c>
      <c r="B541" s="17" t="s">
        <v>634</v>
      </c>
      <c r="C541" s="17" t="s">
        <v>75</v>
      </c>
      <c r="D541" s="17" t="s">
        <v>96</v>
      </c>
      <c r="E541" s="17" t="n">
        <v>3</v>
      </c>
      <c r="F541" s="18" t="n">
        <v>120</v>
      </c>
      <c r="G541" s="19" t="n">
        <v>0</v>
      </c>
      <c r="H541" s="18" t="n">
        <v>360</v>
      </c>
      <c r="I541" s="20"/>
    </row>
    <row r="542" customFormat="false" ht="15" hidden="false" customHeight="false" outlineLevel="0" collapsed="false">
      <c r="A542" s="16" t="n">
        <v>45821</v>
      </c>
      <c r="B542" s="17" t="s">
        <v>635</v>
      </c>
      <c r="C542" s="17" t="s">
        <v>70</v>
      </c>
      <c r="D542" s="17" t="s">
        <v>98</v>
      </c>
      <c r="E542" s="17" t="n">
        <v>5</v>
      </c>
      <c r="F542" s="18" t="n">
        <v>850</v>
      </c>
      <c r="G542" s="19" t="n">
        <v>0</v>
      </c>
      <c r="H542" s="18" t="n">
        <v>4250</v>
      </c>
      <c r="I542" s="20"/>
    </row>
    <row r="543" customFormat="false" ht="15" hidden="false" customHeight="false" outlineLevel="0" collapsed="false">
      <c r="A543" s="16" t="n">
        <v>45822</v>
      </c>
      <c r="B543" s="17" t="s">
        <v>636</v>
      </c>
      <c r="C543" s="17" t="s">
        <v>78</v>
      </c>
      <c r="D543" s="17" t="s">
        <v>102</v>
      </c>
      <c r="E543" s="17" t="n">
        <v>1</v>
      </c>
      <c r="F543" s="18" t="n">
        <v>95</v>
      </c>
      <c r="G543" s="19" t="n">
        <v>0</v>
      </c>
      <c r="H543" s="18" t="n">
        <v>95</v>
      </c>
      <c r="I543" s="20"/>
    </row>
    <row r="544" customFormat="false" ht="15" hidden="false" customHeight="false" outlineLevel="0" collapsed="false">
      <c r="A544" s="16" t="n">
        <v>45822</v>
      </c>
      <c r="B544" s="17" t="s">
        <v>637</v>
      </c>
      <c r="C544" s="17" t="s">
        <v>75</v>
      </c>
      <c r="D544" s="17" t="s">
        <v>98</v>
      </c>
      <c r="E544" s="17" t="n">
        <v>2</v>
      </c>
      <c r="F544" s="18" t="n">
        <v>120</v>
      </c>
      <c r="G544" s="19" t="n">
        <v>0</v>
      </c>
      <c r="H544" s="18" t="n">
        <v>240</v>
      </c>
      <c r="I544" s="20"/>
    </row>
    <row r="545" customFormat="false" ht="15" hidden="false" customHeight="false" outlineLevel="0" collapsed="false">
      <c r="A545" s="16" t="n">
        <v>45822</v>
      </c>
      <c r="B545" s="17" t="s">
        <v>638</v>
      </c>
      <c r="C545" s="17" t="s">
        <v>70</v>
      </c>
      <c r="D545" s="17" t="s">
        <v>92</v>
      </c>
      <c r="E545" s="17" t="n">
        <v>11</v>
      </c>
      <c r="F545" s="18" t="n">
        <v>850</v>
      </c>
      <c r="G545" s="19" t="n">
        <v>0</v>
      </c>
      <c r="H545" s="18" t="n">
        <v>9350</v>
      </c>
      <c r="I545" s="20"/>
    </row>
    <row r="546" customFormat="false" ht="15" hidden="false" customHeight="false" outlineLevel="0" collapsed="false">
      <c r="A546" s="16" t="n">
        <v>45822</v>
      </c>
      <c r="B546" s="17" t="s">
        <v>639</v>
      </c>
      <c r="C546" s="17" t="s">
        <v>81</v>
      </c>
      <c r="D546" s="17" t="s">
        <v>98</v>
      </c>
      <c r="E546" s="17" t="n">
        <v>1</v>
      </c>
      <c r="F546" s="18" t="n">
        <v>60</v>
      </c>
      <c r="G546" s="19" t="n">
        <v>0</v>
      </c>
      <c r="H546" s="18" t="n">
        <v>60</v>
      </c>
      <c r="I546" s="20"/>
    </row>
    <row r="547" customFormat="false" ht="15" hidden="false" customHeight="false" outlineLevel="0" collapsed="false">
      <c r="A547" s="16" t="n">
        <v>45822</v>
      </c>
      <c r="B547" s="17" t="s">
        <v>640</v>
      </c>
      <c r="C547" s="17" t="s">
        <v>78</v>
      </c>
      <c r="D547" s="17" t="s">
        <v>102</v>
      </c>
      <c r="E547" s="17" t="n">
        <v>7</v>
      </c>
      <c r="F547" s="18" t="n">
        <v>95</v>
      </c>
      <c r="G547" s="19" t="n">
        <v>0</v>
      </c>
      <c r="H547" s="18" t="n">
        <v>665</v>
      </c>
      <c r="I547" s="20"/>
    </row>
    <row r="548" customFormat="false" ht="15" hidden="false" customHeight="false" outlineLevel="0" collapsed="false">
      <c r="A548" s="16" t="n">
        <v>45823</v>
      </c>
      <c r="B548" s="17" t="s">
        <v>641</v>
      </c>
      <c r="C548" s="17" t="s">
        <v>81</v>
      </c>
      <c r="D548" s="17" t="s">
        <v>102</v>
      </c>
      <c r="E548" s="17" t="n">
        <v>11</v>
      </c>
      <c r="F548" s="18" t="n">
        <v>60</v>
      </c>
      <c r="G548" s="19" t="n">
        <v>0</v>
      </c>
      <c r="H548" s="18" t="n">
        <v>660</v>
      </c>
      <c r="I548" s="20"/>
    </row>
    <row r="549" customFormat="false" ht="15" hidden="false" customHeight="false" outlineLevel="0" collapsed="false">
      <c r="A549" s="16" t="n">
        <v>45823</v>
      </c>
      <c r="B549" s="17" t="s">
        <v>642</v>
      </c>
      <c r="C549" s="17" t="s">
        <v>70</v>
      </c>
      <c r="D549" s="17" t="s">
        <v>102</v>
      </c>
      <c r="E549" s="17" t="n">
        <v>16</v>
      </c>
      <c r="F549" s="18" t="n">
        <v>850</v>
      </c>
      <c r="G549" s="19" t="n">
        <v>0</v>
      </c>
      <c r="H549" s="18" t="n">
        <v>13600</v>
      </c>
      <c r="I549" s="20"/>
    </row>
    <row r="550" customFormat="false" ht="15" hidden="false" customHeight="false" outlineLevel="0" collapsed="false">
      <c r="A550" s="16" t="n">
        <v>45823</v>
      </c>
      <c r="B550" s="17" t="s">
        <v>643</v>
      </c>
      <c r="C550" s="17" t="s">
        <v>73</v>
      </c>
      <c r="D550" s="17" t="s">
        <v>102</v>
      </c>
      <c r="E550" s="17" t="n">
        <v>6</v>
      </c>
      <c r="F550" s="18" t="n">
        <v>1450</v>
      </c>
      <c r="G550" s="19" t="n">
        <v>0</v>
      </c>
      <c r="H550" s="18" t="n">
        <v>8700</v>
      </c>
      <c r="I550" s="20"/>
    </row>
    <row r="551" customFormat="false" ht="15" hidden="false" customHeight="false" outlineLevel="0" collapsed="false">
      <c r="A551" s="16" t="n">
        <v>45823</v>
      </c>
      <c r="B551" s="17" t="s">
        <v>644</v>
      </c>
      <c r="C551" s="17" t="s">
        <v>75</v>
      </c>
      <c r="D551" s="17" t="s">
        <v>92</v>
      </c>
      <c r="E551" s="17" t="n">
        <v>5</v>
      </c>
      <c r="F551" s="18" t="n">
        <v>120</v>
      </c>
      <c r="G551" s="19" t="n">
        <v>0.05</v>
      </c>
      <c r="H551" s="18" t="n">
        <v>570</v>
      </c>
      <c r="I551" s="20"/>
    </row>
    <row r="552" customFormat="false" ht="15" hidden="false" customHeight="false" outlineLevel="0" collapsed="false">
      <c r="A552" s="16" t="n">
        <v>45823</v>
      </c>
      <c r="B552" s="17" t="s">
        <v>645</v>
      </c>
      <c r="C552" s="17" t="s">
        <v>78</v>
      </c>
      <c r="D552" s="17" t="s">
        <v>92</v>
      </c>
      <c r="E552" s="17" t="n">
        <v>2</v>
      </c>
      <c r="F552" s="18" t="n">
        <v>95</v>
      </c>
      <c r="G552" s="19" t="n">
        <v>0.1</v>
      </c>
      <c r="H552" s="18" t="n">
        <v>171</v>
      </c>
      <c r="I552" s="20"/>
    </row>
    <row r="553" customFormat="false" ht="15" hidden="false" customHeight="false" outlineLevel="0" collapsed="false">
      <c r="A553" s="16" t="n">
        <v>45823</v>
      </c>
      <c r="B553" s="17" t="s">
        <v>646</v>
      </c>
      <c r="C553" s="17" t="s">
        <v>78</v>
      </c>
      <c r="D553" s="17" t="s">
        <v>98</v>
      </c>
      <c r="E553" s="17" t="n">
        <v>14</v>
      </c>
      <c r="F553" s="18" t="n">
        <v>95</v>
      </c>
      <c r="G553" s="19" t="n">
        <v>0</v>
      </c>
      <c r="H553" s="18" t="n">
        <v>1330</v>
      </c>
      <c r="I553" s="20"/>
    </row>
    <row r="554" customFormat="false" ht="15" hidden="false" customHeight="false" outlineLevel="0" collapsed="false">
      <c r="A554" s="16" t="n">
        <v>45824</v>
      </c>
      <c r="B554" s="17" t="s">
        <v>647</v>
      </c>
      <c r="C554" s="17" t="s">
        <v>70</v>
      </c>
      <c r="D554" s="17" t="s">
        <v>96</v>
      </c>
      <c r="E554" s="17" t="n">
        <v>18</v>
      </c>
      <c r="F554" s="18" t="n">
        <v>850</v>
      </c>
      <c r="G554" s="19" t="n">
        <v>0.1</v>
      </c>
      <c r="H554" s="18" t="n">
        <v>13770</v>
      </c>
      <c r="I554" s="20"/>
    </row>
    <row r="555" customFormat="false" ht="15" hidden="false" customHeight="false" outlineLevel="0" collapsed="false">
      <c r="A555" s="16" t="n">
        <v>45824</v>
      </c>
      <c r="B555" s="17" t="s">
        <v>648</v>
      </c>
      <c r="C555" s="17" t="s">
        <v>81</v>
      </c>
      <c r="D555" s="17" t="s">
        <v>92</v>
      </c>
      <c r="E555" s="17" t="n">
        <v>3</v>
      </c>
      <c r="F555" s="18" t="n">
        <v>60</v>
      </c>
      <c r="G555" s="19" t="n">
        <v>0</v>
      </c>
      <c r="H555" s="18" t="n">
        <v>180</v>
      </c>
      <c r="I555" s="20"/>
    </row>
    <row r="556" customFormat="false" ht="15" hidden="false" customHeight="false" outlineLevel="0" collapsed="false">
      <c r="A556" s="16" t="n">
        <v>45824</v>
      </c>
      <c r="B556" s="17" t="s">
        <v>649</v>
      </c>
      <c r="C556" s="17" t="s">
        <v>81</v>
      </c>
      <c r="D556" s="17" t="s">
        <v>96</v>
      </c>
      <c r="E556" s="17" t="n">
        <v>15</v>
      </c>
      <c r="F556" s="18" t="n">
        <v>60</v>
      </c>
      <c r="G556" s="19" t="n">
        <v>0</v>
      </c>
      <c r="H556" s="18" t="n">
        <v>900</v>
      </c>
      <c r="I556" s="20"/>
    </row>
    <row r="557" customFormat="false" ht="15" hidden="false" customHeight="false" outlineLevel="0" collapsed="false">
      <c r="A557" s="16" t="n">
        <v>45824</v>
      </c>
      <c r="B557" s="17" t="s">
        <v>650</v>
      </c>
      <c r="C557" s="17" t="s">
        <v>81</v>
      </c>
      <c r="D557" s="17" t="s">
        <v>102</v>
      </c>
      <c r="E557" s="17" t="n">
        <v>14</v>
      </c>
      <c r="F557" s="18" t="n">
        <v>60</v>
      </c>
      <c r="G557" s="19" t="n">
        <v>0</v>
      </c>
      <c r="H557" s="18" t="n">
        <v>840</v>
      </c>
      <c r="I557" s="20"/>
    </row>
    <row r="558" customFormat="false" ht="15" hidden="false" customHeight="false" outlineLevel="0" collapsed="false">
      <c r="A558" s="16" t="n">
        <v>45824</v>
      </c>
      <c r="B558" s="17" t="s">
        <v>651</v>
      </c>
      <c r="C558" s="17" t="s">
        <v>78</v>
      </c>
      <c r="D558" s="17" t="s">
        <v>92</v>
      </c>
      <c r="E558" s="17" t="n">
        <v>17</v>
      </c>
      <c r="F558" s="18" t="n">
        <v>95</v>
      </c>
      <c r="G558" s="19" t="n">
        <v>0.1</v>
      </c>
      <c r="H558" s="18" t="n">
        <v>1453.5</v>
      </c>
      <c r="I558" s="20"/>
    </row>
    <row r="559" customFormat="false" ht="15" hidden="false" customHeight="false" outlineLevel="0" collapsed="false">
      <c r="A559" s="16" t="n">
        <v>45824</v>
      </c>
      <c r="B559" s="17" t="s">
        <v>652</v>
      </c>
      <c r="C559" s="17" t="s">
        <v>81</v>
      </c>
      <c r="D559" s="17" t="s">
        <v>102</v>
      </c>
      <c r="E559" s="17" t="n">
        <v>6</v>
      </c>
      <c r="F559" s="18" t="n">
        <v>60</v>
      </c>
      <c r="G559" s="19" t="n">
        <v>0</v>
      </c>
      <c r="H559" s="18" t="n">
        <v>360</v>
      </c>
      <c r="I559" s="20"/>
    </row>
    <row r="560" customFormat="false" ht="15" hidden="false" customHeight="false" outlineLevel="0" collapsed="false">
      <c r="A560" s="16" t="n">
        <v>45825</v>
      </c>
      <c r="B560" s="17" t="s">
        <v>653</v>
      </c>
      <c r="C560" s="17" t="s">
        <v>75</v>
      </c>
      <c r="D560" s="17" t="s">
        <v>96</v>
      </c>
      <c r="E560" s="17" t="n">
        <v>19</v>
      </c>
      <c r="F560" s="18" t="n">
        <v>120</v>
      </c>
      <c r="G560" s="19" t="n">
        <v>0.1</v>
      </c>
      <c r="H560" s="18" t="n">
        <v>2052</v>
      </c>
      <c r="I560" s="20"/>
    </row>
    <row r="561" customFormat="false" ht="15" hidden="false" customHeight="false" outlineLevel="0" collapsed="false">
      <c r="A561" s="16" t="n">
        <v>45825</v>
      </c>
      <c r="B561" s="17" t="s">
        <v>654</v>
      </c>
      <c r="C561" s="17" t="s">
        <v>75</v>
      </c>
      <c r="D561" s="17" t="s">
        <v>96</v>
      </c>
      <c r="E561" s="17" t="n">
        <v>7</v>
      </c>
      <c r="F561" s="18" t="n">
        <v>120</v>
      </c>
      <c r="G561" s="19" t="n">
        <v>0</v>
      </c>
      <c r="H561" s="18" t="n">
        <v>840</v>
      </c>
      <c r="I561" s="20"/>
    </row>
    <row r="562" customFormat="false" ht="15" hidden="false" customHeight="false" outlineLevel="0" collapsed="false">
      <c r="A562" s="16" t="n">
        <v>45825</v>
      </c>
      <c r="B562" s="17" t="s">
        <v>655</v>
      </c>
      <c r="C562" s="17" t="s">
        <v>70</v>
      </c>
      <c r="D562" s="17" t="s">
        <v>102</v>
      </c>
      <c r="E562" s="17" t="n">
        <v>10</v>
      </c>
      <c r="F562" s="18" t="n">
        <v>850</v>
      </c>
      <c r="G562" s="19" t="n">
        <v>0.1</v>
      </c>
      <c r="H562" s="18" t="n">
        <v>7650</v>
      </c>
      <c r="I562" s="20"/>
    </row>
    <row r="563" customFormat="false" ht="15" hidden="false" customHeight="false" outlineLevel="0" collapsed="false">
      <c r="A563" s="16" t="n">
        <v>45825</v>
      </c>
      <c r="B563" s="17" t="s">
        <v>656</v>
      </c>
      <c r="C563" s="17" t="s">
        <v>81</v>
      </c>
      <c r="D563" s="17" t="s">
        <v>92</v>
      </c>
      <c r="E563" s="17" t="n">
        <v>17</v>
      </c>
      <c r="F563" s="18" t="n">
        <v>60</v>
      </c>
      <c r="G563" s="19" t="n">
        <v>0</v>
      </c>
      <c r="H563" s="18" t="n">
        <v>1020</v>
      </c>
      <c r="I563" s="20"/>
    </row>
    <row r="564" customFormat="false" ht="15" hidden="false" customHeight="false" outlineLevel="0" collapsed="false">
      <c r="A564" s="16" t="n">
        <v>45826</v>
      </c>
      <c r="B564" s="17" t="s">
        <v>657</v>
      </c>
      <c r="C564" s="17" t="s">
        <v>70</v>
      </c>
      <c r="D564" s="17" t="s">
        <v>96</v>
      </c>
      <c r="E564" s="17" t="n">
        <v>16</v>
      </c>
      <c r="F564" s="18" t="n">
        <v>850</v>
      </c>
      <c r="G564" s="19" t="n">
        <v>0.05</v>
      </c>
      <c r="H564" s="18" t="n">
        <v>12920</v>
      </c>
      <c r="I564" s="20"/>
    </row>
    <row r="565" customFormat="false" ht="15" hidden="false" customHeight="false" outlineLevel="0" collapsed="false">
      <c r="A565" s="16" t="n">
        <v>45826</v>
      </c>
      <c r="B565" s="17" t="s">
        <v>658</v>
      </c>
      <c r="C565" s="17" t="s">
        <v>75</v>
      </c>
      <c r="D565" s="17" t="s">
        <v>102</v>
      </c>
      <c r="E565" s="17" t="n">
        <v>11</v>
      </c>
      <c r="F565" s="18" t="n">
        <v>120</v>
      </c>
      <c r="G565" s="19" t="n">
        <v>0.05</v>
      </c>
      <c r="H565" s="18" t="n">
        <v>1254</v>
      </c>
      <c r="I565" s="20"/>
    </row>
    <row r="566" customFormat="false" ht="15" hidden="false" customHeight="false" outlineLevel="0" collapsed="false">
      <c r="A566" s="16" t="n">
        <v>45826</v>
      </c>
      <c r="B566" s="17" t="s">
        <v>659</v>
      </c>
      <c r="C566" s="17" t="s">
        <v>78</v>
      </c>
      <c r="D566" s="17" t="s">
        <v>102</v>
      </c>
      <c r="E566" s="17" t="n">
        <v>12</v>
      </c>
      <c r="F566" s="18" t="n">
        <v>95</v>
      </c>
      <c r="G566" s="19" t="n">
        <v>0.1</v>
      </c>
      <c r="H566" s="18" t="n">
        <v>1026</v>
      </c>
      <c r="I566" s="20"/>
    </row>
    <row r="567" customFormat="false" ht="15" hidden="false" customHeight="false" outlineLevel="0" collapsed="false">
      <c r="A567" s="16" t="n">
        <v>45826</v>
      </c>
      <c r="B567" s="17" t="s">
        <v>660</v>
      </c>
      <c r="C567" s="17" t="s">
        <v>73</v>
      </c>
      <c r="D567" s="17" t="s">
        <v>96</v>
      </c>
      <c r="E567" s="17" t="n">
        <v>9</v>
      </c>
      <c r="F567" s="18" t="n">
        <v>1450</v>
      </c>
      <c r="G567" s="19" t="n">
        <v>0</v>
      </c>
      <c r="H567" s="18" t="n">
        <v>13050</v>
      </c>
      <c r="I567" s="20"/>
    </row>
    <row r="568" customFormat="false" ht="15" hidden="false" customHeight="false" outlineLevel="0" collapsed="false">
      <c r="A568" s="16" t="n">
        <v>45826</v>
      </c>
      <c r="B568" s="17" t="s">
        <v>661</v>
      </c>
      <c r="C568" s="17" t="s">
        <v>78</v>
      </c>
      <c r="D568" s="17" t="s">
        <v>96</v>
      </c>
      <c r="E568" s="17" t="n">
        <v>6</v>
      </c>
      <c r="F568" s="18" t="n">
        <v>95</v>
      </c>
      <c r="G568" s="19" t="n">
        <v>0.05</v>
      </c>
      <c r="H568" s="18" t="n">
        <v>541.5</v>
      </c>
      <c r="I568" s="20"/>
    </row>
    <row r="569" customFormat="false" ht="15" hidden="false" customHeight="false" outlineLevel="0" collapsed="false">
      <c r="A569" s="16" t="n">
        <v>45826</v>
      </c>
      <c r="B569" s="17" t="s">
        <v>662</v>
      </c>
      <c r="C569" s="17" t="s">
        <v>81</v>
      </c>
      <c r="D569" s="17" t="s">
        <v>98</v>
      </c>
      <c r="E569" s="17" t="n">
        <v>7</v>
      </c>
      <c r="F569" s="18" t="n">
        <v>60</v>
      </c>
      <c r="G569" s="19" t="n">
        <v>0.1</v>
      </c>
      <c r="H569" s="18" t="n">
        <v>378</v>
      </c>
      <c r="I569" s="20"/>
    </row>
    <row r="570" customFormat="false" ht="15" hidden="false" customHeight="false" outlineLevel="0" collapsed="false">
      <c r="A570" s="16" t="n">
        <v>45827</v>
      </c>
      <c r="B570" s="17" t="s">
        <v>663</v>
      </c>
      <c r="C570" s="17" t="s">
        <v>78</v>
      </c>
      <c r="D570" s="17" t="s">
        <v>98</v>
      </c>
      <c r="E570" s="17" t="n">
        <v>9</v>
      </c>
      <c r="F570" s="18" t="n">
        <v>95</v>
      </c>
      <c r="G570" s="19" t="n">
        <v>0</v>
      </c>
      <c r="H570" s="18" t="n">
        <v>855</v>
      </c>
      <c r="I570" s="20"/>
    </row>
    <row r="571" customFormat="false" ht="15" hidden="false" customHeight="false" outlineLevel="0" collapsed="false">
      <c r="A571" s="16" t="n">
        <v>45827</v>
      </c>
      <c r="B571" s="17" t="s">
        <v>664</v>
      </c>
      <c r="C571" s="17" t="s">
        <v>81</v>
      </c>
      <c r="D571" s="17" t="s">
        <v>96</v>
      </c>
      <c r="E571" s="17" t="n">
        <v>6</v>
      </c>
      <c r="F571" s="18" t="n">
        <v>60</v>
      </c>
      <c r="G571" s="19" t="n">
        <v>0</v>
      </c>
      <c r="H571" s="18" t="n">
        <v>360</v>
      </c>
      <c r="I571" s="20"/>
    </row>
    <row r="572" customFormat="false" ht="15" hidden="false" customHeight="false" outlineLevel="0" collapsed="false">
      <c r="A572" s="16" t="n">
        <v>45828</v>
      </c>
      <c r="B572" s="17" t="s">
        <v>665</v>
      </c>
      <c r="C572" s="17" t="s">
        <v>73</v>
      </c>
      <c r="D572" s="17" t="s">
        <v>98</v>
      </c>
      <c r="E572" s="17" t="n">
        <v>17</v>
      </c>
      <c r="F572" s="18" t="n">
        <v>1450</v>
      </c>
      <c r="G572" s="19" t="n">
        <v>0</v>
      </c>
      <c r="H572" s="18" t="n">
        <v>24650</v>
      </c>
      <c r="I572" s="20"/>
    </row>
    <row r="573" customFormat="false" ht="15" hidden="false" customHeight="false" outlineLevel="0" collapsed="false">
      <c r="A573" s="16" t="n">
        <v>45828</v>
      </c>
      <c r="B573" s="17" t="s">
        <v>666</v>
      </c>
      <c r="C573" s="17" t="s">
        <v>81</v>
      </c>
      <c r="D573" s="17" t="s">
        <v>92</v>
      </c>
      <c r="E573" s="17" t="n">
        <v>3</v>
      </c>
      <c r="F573" s="18" t="n">
        <v>60</v>
      </c>
      <c r="G573" s="19" t="n">
        <v>0.05</v>
      </c>
      <c r="H573" s="18" t="n">
        <v>171</v>
      </c>
      <c r="I573" s="20"/>
    </row>
    <row r="574" customFormat="false" ht="15" hidden="false" customHeight="false" outlineLevel="0" collapsed="false">
      <c r="A574" s="16" t="n">
        <v>45828</v>
      </c>
      <c r="B574" s="17" t="s">
        <v>667</v>
      </c>
      <c r="C574" s="17" t="s">
        <v>78</v>
      </c>
      <c r="D574" s="17" t="s">
        <v>102</v>
      </c>
      <c r="E574" s="17" t="n">
        <v>16</v>
      </c>
      <c r="F574" s="18" t="n">
        <v>95</v>
      </c>
      <c r="G574" s="19" t="n">
        <v>0.05</v>
      </c>
      <c r="H574" s="18" t="n">
        <v>1444</v>
      </c>
      <c r="I574" s="20"/>
    </row>
    <row r="575" customFormat="false" ht="15" hidden="false" customHeight="false" outlineLevel="0" collapsed="false">
      <c r="A575" s="16" t="n">
        <v>45829</v>
      </c>
      <c r="B575" s="17" t="s">
        <v>668</v>
      </c>
      <c r="C575" s="17" t="s">
        <v>73</v>
      </c>
      <c r="D575" s="17" t="s">
        <v>98</v>
      </c>
      <c r="E575" s="17" t="n">
        <v>15</v>
      </c>
      <c r="F575" s="18" t="n">
        <v>1450</v>
      </c>
      <c r="G575" s="19" t="n">
        <v>0</v>
      </c>
      <c r="H575" s="18" t="n">
        <v>21750</v>
      </c>
      <c r="I575" s="20"/>
    </row>
    <row r="576" customFormat="false" ht="15" hidden="false" customHeight="false" outlineLevel="0" collapsed="false">
      <c r="A576" s="16" t="n">
        <v>45830</v>
      </c>
      <c r="B576" s="17" t="s">
        <v>669</v>
      </c>
      <c r="C576" s="17" t="s">
        <v>81</v>
      </c>
      <c r="D576" s="17" t="s">
        <v>96</v>
      </c>
      <c r="E576" s="17" t="n">
        <v>16</v>
      </c>
      <c r="F576" s="18" t="n">
        <v>60</v>
      </c>
      <c r="G576" s="19" t="n">
        <v>0</v>
      </c>
      <c r="H576" s="18" t="n">
        <v>960</v>
      </c>
      <c r="I576" s="20"/>
    </row>
    <row r="577" customFormat="false" ht="15" hidden="false" customHeight="false" outlineLevel="0" collapsed="false">
      <c r="A577" s="16" t="n">
        <v>45831</v>
      </c>
      <c r="B577" s="17" t="s">
        <v>670</v>
      </c>
      <c r="C577" s="17" t="s">
        <v>73</v>
      </c>
      <c r="D577" s="17" t="s">
        <v>98</v>
      </c>
      <c r="E577" s="17" t="n">
        <v>1</v>
      </c>
      <c r="F577" s="18" t="n">
        <v>1450</v>
      </c>
      <c r="G577" s="19" t="n">
        <v>0</v>
      </c>
      <c r="H577" s="18" t="n">
        <v>1450</v>
      </c>
      <c r="I577" s="20"/>
    </row>
    <row r="578" customFormat="false" ht="15" hidden="false" customHeight="false" outlineLevel="0" collapsed="false">
      <c r="A578" s="16" t="n">
        <v>45831</v>
      </c>
      <c r="B578" s="17" t="s">
        <v>671</v>
      </c>
      <c r="C578" s="17" t="s">
        <v>81</v>
      </c>
      <c r="D578" s="17" t="s">
        <v>92</v>
      </c>
      <c r="E578" s="17" t="n">
        <v>15</v>
      </c>
      <c r="F578" s="18" t="n">
        <v>60</v>
      </c>
      <c r="G578" s="19" t="n">
        <v>0</v>
      </c>
      <c r="H578" s="18" t="n">
        <v>900</v>
      </c>
      <c r="I578" s="20"/>
    </row>
    <row r="579" customFormat="false" ht="15" hidden="false" customHeight="false" outlineLevel="0" collapsed="false">
      <c r="A579" s="16" t="n">
        <v>45831</v>
      </c>
      <c r="B579" s="17" t="s">
        <v>672</v>
      </c>
      <c r="C579" s="17" t="s">
        <v>81</v>
      </c>
      <c r="D579" s="17" t="s">
        <v>92</v>
      </c>
      <c r="E579" s="17" t="n">
        <v>14</v>
      </c>
      <c r="F579" s="18" t="n">
        <v>60</v>
      </c>
      <c r="G579" s="19" t="n">
        <v>0.05</v>
      </c>
      <c r="H579" s="18" t="n">
        <v>798</v>
      </c>
      <c r="I579" s="20"/>
    </row>
    <row r="580" customFormat="false" ht="15" hidden="false" customHeight="false" outlineLevel="0" collapsed="false">
      <c r="A580" s="16" t="n">
        <v>45832</v>
      </c>
      <c r="B580" s="17" t="s">
        <v>673</v>
      </c>
      <c r="C580" s="17" t="s">
        <v>70</v>
      </c>
      <c r="D580" s="17" t="s">
        <v>96</v>
      </c>
      <c r="E580" s="17" t="n">
        <v>18</v>
      </c>
      <c r="F580" s="18" t="n">
        <v>850</v>
      </c>
      <c r="G580" s="19" t="n">
        <v>0</v>
      </c>
      <c r="H580" s="18" t="n">
        <v>15300</v>
      </c>
      <c r="I580" s="20"/>
    </row>
    <row r="581" customFormat="false" ht="15" hidden="false" customHeight="false" outlineLevel="0" collapsed="false">
      <c r="A581" s="16" t="n">
        <v>45833</v>
      </c>
      <c r="B581" s="17" t="s">
        <v>674</v>
      </c>
      <c r="C581" s="17" t="s">
        <v>70</v>
      </c>
      <c r="D581" s="17" t="s">
        <v>96</v>
      </c>
      <c r="E581" s="17" t="n">
        <v>16</v>
      </c>
      <c r="F581" s="18" t="n">
        <v>850</v>
      </c>
      <c r="G581" s="19" t="n">
        <v>0.1</v>
      </c>
      <c r="H581" s="18" t="n">
        <v>12240</v>
      </c>
      <c r="I581" s="20"/>
    </row>
    <row r="582" customFormat="false" ht="15" hidden="false" customHeight="false" outlineLevel="0" collapsed="false">
      <c r="A582" s="16" t="n">
        <v>45833</v>
      </c>
      <c r="B582" s="17" t="s">
        <v>675</v>
      </c>
      <c r="C582" s="17" t="s">
        <v>75</v>
      </c>
      <c r="D582" s="17" t="s">
        <v>96</v>
      </c>
      <c r="E582" s="17" t="n">
        <v>17</v>
      </c>
      <c r="F582" s="18" t="n">
        <v>120</v>
      </c>
      <c r="G582" s="19" t="n">
        <v>0</v>
      </c>
      <c r="H582" s="18" t="n">
        <v>2040</v>
      </c>
      <c r="I582" s="20"/>
    </row>
    <row r="583" customFormat="false" ht="15" hidden="false" customHeight="false" outlineLevel="0" collapsed="false">
      <c r="A583" s="16" t="n">
        <v>45833</v>
      </c>
      <c r="B583" s="17" t="s">
        <v>676</v>
      </c>
      <c r="C583" s="17" t="s">
        <v>75</v>
      </c>
      <c r="D583" s="17" t="s">
        <v>92</v>
      </c>
      <c r="E583" s="17" t="n">
        <v>15</v>
      </c>
      <c r="F583" s="18" t="n">
        <v>120</v>
      </c>
      <c r="G583" s="19" t="n">
        <v>0</v>
      </c>
      <c r="H583" s="18" t="n">
        <v>1800</v>
      </c>
      <c r="I583" s="20"/>
    </row>
    <row r="584" customFormat="false" ht="15" hidden="false" customHeight="false" outlineLevel="0" collapsed="false">
      <c r="A584" s="16" t="n">
        <v>45833</v>
      </c>
      <c r="B584" s="17" t="s">
        <v>677</v>
      </c>
      <c r="C584" s="17" t="s">
        <v>70</v>
      </c>
      <c r="D584" s="17" t="s">
        <v>102</v>
      </c>
      <c r="E584" s="17" t="n">
        <v>9</v>
      </c>
      <c r="F584" s="18" t="n">
        <v>850</v>
      </c>
      <c r="G584" s="19" t="n">
        <v>0</v>
      </c>
      <c r="H584" s="18" t="n">
        <v>7650</v>
      </c>
      <c r="I584" s="20"/>
    </row>
    <row r="585" customFormat="false" ht="15" hidden="false" customHeight="false" outlineLevel="0" collapsed="false">
      <c r="A585" s="16" t="n">
        <v>45833</v>
      </c>
      <c r="B585" s="17" t="s">
        <v>678</v>
      </c>
      <c r="C585" s="17" t="s">
        <v>81</v>
      </c>
      <c r="D585" s="17" t="s">
        <v>92</v>
      </c>
      <c r="E585" s="17" t="n">
        <v>16</v>
      </c>
      <c r="F585" s="18" t="n">
        <v>60</v>
      </c>
      <c r="G585" s="19" t="n">
        <v>0.05</v>
      </c>
      <c r="H585" s="18" t="n">
        <v>912</v>
      </c>
      <c r="I585" s="20"/>
    </row>
    <row r="586" customFormat="false" ht="15" hidden="false" customHeight="false" outlineLevel="0" collapsed="false">
      <c r="A586" s="16" t="n">
        <v>45833</v>
      </c>
      <c r="B586" s="17" t="s">
        <v>679</v>
      </c>
      <c r="C586" s="17" t="s">
        <v>73</v>
      </c>
      <c r="D586" s="17" t="s">
        <v>102</v>
      </c>
      <c r="E586" s="17" t="n">
        <v>5</v>
      </c>
      <c r="F586" s="18" t="n">
        <v>1450</v>
      </c>
      <c r="G586" s="19" t="n">
        <v>0.05</v>
      </c>
      <c r="H586" s="18" t="n">
        <v>6887.5</v>
      </c>
      <c r="I586" s="20"/>
    </row>
    <row r="587" customFormat="false" ht="15" hidden="false" customHeight="false" outlineLevel="0" collapsed="false">
      <c r="A587" s="16" t="n">
        <v>45833</v>
      </c>
      <c r="B587" s="17" t="s">
        <v>680</v>
      </c>
      <c r="C587" s="17" t="s">
        <v>73</v>
      </c>
      <c r="D587" s="17" t="s">
        <v>98</v>
      </c>
      <c r="E587" s="17" t="n">
        <v>14</v>
      </c>
      <c r="F587" s="18" t="n">
        <v>1450</v>
      </c>
      <c r="G587" s="19" t="n">
        <v>0</v>
      </c>
      <c r="H587" s="18" t="n">
        <v>20300</v>
      </c>
      <c r="I587" s="20"/>
    </row>
    <row r="588" customFormat="false" ht="15" hidden="false" customHeight="false" outlineLevel="0" collapsed="false">
      <c r="A588" s="16" t="n">
        <v>45834</v>
      </c>
      <c r="B588" s="17" t="s">
        <v>681</v>
      </c>
      <c r="C588" s="17" t="s">
        <v>73</v>
      </c>
      <c r="D588" s="17" t="s">
        <v>96</v>
      </c>
      <c r="E588" s="17" t="n">
        <v>12</v>
      </c>
      <c r="F588" s="18" t="n">
        <v>1450</v>
      </c>
      <c r="G588" s="19" t="n">
        <v>0.05</v>
      </c>
      <c r="H588" s="18" t="n">
        <v>16530</v>
      </c>
      <c r="I588" s="20"/>
    </row>
    <row r="589" customFormat="false" ht="15" hidden="false" customHeight="false" outlineLevel="0" collapsed="false">
      <c r="A589" s="16" t="n">
        <v>45834</v>
      </c>
      <c r="B589" s="17" t="s">
        <v>682</v>
      </c>
      <c r="C589" s="17" t="s">
        <v>78</v>
      </c>
      <c r="D589" s="17" t="s">
        <v>92</v>
      </c>
      <c r="E589" s="17" t="n">
        <v>10</v>
      </c>
      <c r="F589" s="18" t="n">
        <v>95</v>
      </c>
      <c r="G589" s="19" t="n">
        <v>0</v>
      </c>
      <c r="H589" s="18" t="n">
        <v>950</v>
      </c>
      <c r="I589" s="20"/>
    </row>
    <row r="590" customFormat="false" ht="15" hidden="false" customHeight="false" outlineLevel="0" collapsed="false">
      <c r="A590" s="16" t="n">
        <v>45834</v>
      </c>
      <c r="B590" s="17" t="s">
        <v>683</v>
      </c>
      <c r="C590" s="17" t="s">
        <v>75</v>
      </c>
      <c r="D590" s="17" t="s">
        <v>96</v>
      </c>
      <c r="E590" s="17" t="n">
        <v>18</v>
      </c>
      <c r="F590" s="18" t="n">
        <v>120</v>
      </c>
      <c r="G590" s="19" t="n">
        <v>0.05</v>
      </c>
      <c r="H590" s="18" t="n">
        <v>2052</v>
      </c>
      <c r="I590" s="20"/>
    </row>
    <row r="591" customFormat="false" ht="15" hidden="false" customHeight="false" outlineLevel="0" collapsed="false">
      <c r="A591" s="16" t="n">
        <v>45834</v>
      </c>
      <c r="B591" s="17" t="s">
        <v>684</v>
      </c>
      <c r="C591" s="17" t="s">
        <v>70</v>
      </c>
      <c r="D591" s="17" t="s">
        <v>98</v>
      </c>
      <c r="E591" s="17" t="n">
        <v>2</v>
      </c>
      <c r="F591" s="18" t="n">
        <v>850</v>
      </c>
      <c r="G591" s="19" t="n">
        <v>0</v>
      </c>
      <c r="H591" s="18" t="n">
        <v>1700</v>
      </c>
      <c r="I591" s="20"/>
    </row>
    <row r="592" customFormat="false" ht="15" hidden="false" customHeight="false" outlineLevel="0" collapsed="false">
      <c r="A592" s="16" t="n">
        <v>45834</v>
      </c>
      <c r="B592" s="17" t="s">
        <v>685</v>
      </c>
      <c r="C592" s="17" t="s">
        <v>75</v>
      </c>
      <c r="D592" s="17" t="s">
        <v>98</v>
      </c>
      <c r="E592" s="17" t="n">
        <v>20</v>
      </c>
      <c r="F592" s="18" t="n">
        <v>120</v>
      </c>
      <c r="G592" s="19" t="n">
        <v>0</v>
      </c>
      <c r="H592" s="18" t="n">
        <v>2400</v>
      </c>
      <c r="I592" s="20"/>
    </row>
    <row r="593" customFormat="false" ht="15" hidden="false" customHeight="false" outlineLevel="0" collapsed="false">
      <c r="A593" s="16" t="n">
        <v>45835</v>
      </c>
      <c r="B593" s="17" t="s">
        <v>686</v>
      </c>
      <c r="C593" s="17" t="s">
        <v>81</v>
      </c>
      <c r="D593" s="17" t="s">
        <v>92</v>
      </c>
      <c r="E593" s="17" t="n">
        <v>8</v>
      </c>
      <c r="F593" s="18" t="n">
        <v>60</v>
      </c>
      <c r="G593" s="19" t="n">
        <v>0</v>
      </c>
      <c r="H593" s="18" t="n">
        <v>480</v>
      </c>
      <c r="I593" s="20"/>
    </row>
    <row r="594" customFormat="false" ht="15" hidden="false" customHeight="false" outlineLevel="0" collapsed="false">
      <c r="A594" s="16" t="n">
        <v>45835</v>
      </c>
      <c r="B594" s="17" t="s">
        <v>687</v>
      </c>
      <c r="C594" s="17" t="s">
        <v>78</v>
      </c>
      <c r="D594" s="17" t="s">
        <v>102</v>
      </c>
      <c r="E594" s="17" t="n">
        <v>11</v>
      </c>
      <c r="F594" s="18" t="n">
        <v>95</v>
      </c>
      <c r="G594" s="19" t="n">
        <v>0</v>
      </c>
      <c r="H594" s="18" t="n">
        <v>1045</v>
      </c>
      <c r="I594" s="20"/>
    </row>
    <row r="595" customFormat="false" ht="15" hidden="false" customHeight="false" outlineLevel="0" collapsed="false">
      <c r="A595" s="16" t="n">
        <v>45835</v>
      </c>
      <c r="B595" s="17" t="s">
        <v>688</v>
      </c>
      <c r="C595" s="17" t="s">
        <v>73</v>
      </c>
      <c r="D595" s="17" t="s">
        <v>92</v>
      </c>
      <c r="E595" s="17" t="n">
        <v>19</v>
      </c>
      <c r="F595" s="18" t="n">
        <v>1450</v>
      </c>
      <c r="G595" s="19" t="n">
        <v>0.1</v>
      </c>
      <c r="H595" s="18" t="n">
        <v>24795</v>
      </c>
      <c r="I595" s="20"/>
    </row>
    <row r="596" customFormat="false" ht="15" hidden="false" customHeight="false" outlineLevel="0" collapsed="false">
      <c r="A596" s="16" t="n">
        <v>45836</v>
      </c>
      <c r="B596" s="17" t="s">
        <v>689</v>
      </c>
      <c r="C596" s="17" t="s">
        <v>78</v>
      </c>
      <c r="D596" s="17" t="s">
        <v>98</v>
      </c>
      <c r="E596" s="17" t="n">
        <v>19</v>
      </c>
      <c r="F596" s="18" t="n">
        <v>95</v>
      </c>
      <c r="G596" s="19" t="n">
        <v>0.1</v>
      </c>
      <c r="H596" s="18" t="n">
        <v>1624.5</v>
      </c>
      <c r="I596" s="20"/>
    </row>
    <row r="597" customFormat="false" ht="15" hidden="false" customHeight="false" outlineLevel="0" collapsed="false">
      <c r="A597" s="16" t="n">
        <v>45836</v>
      </c>
      <c r="B597" s="17" t="s">
        <v>690</v>
      </c>
      <c r="C597" s="17" t="s">
        <v>70</v>
      </c>
      <c r="D597" s="17" t="s">
        <v>98</v>
      </c>
      <c r="E597" s="17" t="n">
        <v>4</v>
      </c>
      <c r="F597" s="18" t="n">
        <v>850</v>
      </c>
      <c r="G597" s="19" t="n">
        <v>0</v>
      </c>
      <c r="H597" s="18" t="n">
        <v>3400</v>
      </c>
      <c r="I597" s="20"/>
    </row>
    <row r="598" customFormat="false" ht="15" hidden="false" customHeight="false" outlineLevel="0" collapsed="false">
      <c r="A598" s="16" t="n">
        <v>45836</v>
      </c>
      <c r="B598" s="17" t="s">
        <v>691</v>
      </c>
      <c r="C598" s="17" t="s">
        <v>70</v>
      </c>
      <c r="D598" s="17" t="s">
        <v>92</v>
      </c>
      <c r="E598" s="17" t="n">
        <v>10</v>
      </c>
      <c r="F598" s="18" t="n">
        <v>850</v>
      </c>
      <c r="G598" s="19" t="n">
        <v>0</v>
      </c>
      <c r="H598" s="18" t="n">
        <v>8500</v>
      </c>
      <c r="I598" s="20"/>
    </row>
    <row r="599" customFormat="false" ht="15" hidden="false" customHeight="false" outlineLevel="0" collapsed="false">
      <c r="A599" s="16" t="n">
        <v>45836</v>
      </c>
      <c r="B599" s="17" t="s">
        <v>692</v>
      </c>
      <c r="C599" s="17" t="s">
        <v>70</v>
      </c>
      <c r="D599" s="17" t="s">
        <v>102</v>
      </c>
      <c r="E599" s="17" t="n">
        <v>15</v>
      </c>
      <c r="F599" s="18" t="n">
        <v>850</v>
      </c>
      <c r="G599" s="19" t="n">
        <v>0</v>
      </c>
      <c r="H599" s="18" t="n">
        <v>12750</v>
      </c>
      <c r="I599" s="20"/>
    </row>
    <row r="600" customFormat="false" ht="15" hidden="false" customHeight="false" outlineLevel="0" collapsed="false">
      <c r="A600" s="16" t="n">
        <v>45836</v>
      </c>
      <c r="B600" s="17" t="s">
        <v>693</v>
      </c>
      <c r="C600" s="17" t="s">
        <v>78</v>
      </c>
      <c r="D600" s="17" t="s">
        <v>102</v>
      </c>
      <c r="E600" s="17" t="n">
        <v>17</v>
      </c>
      <c r="F600" s="18" t="n">
        <v>95</v>
      </c>
      <c r="G600" s="19" t="n">
        <v>0</v>
      </c>
      <c r="H600" s="18" t="n">
        <v>1615</v>
      </c>
      <c r="I600" s="20"/>
    </row>
    <row r="601" customFormat="false" ht="15" hidden="false" customHeight="false" outlineLevel="0" collapsed="false">
      <c r="A601" s="16" t="n">
        <v>45839</v>
      </c>
      <c r="B601" s="17" t="s">
        <v>694</v>
      </c>
      <c r="C601" s="17" t="s">
        <v>81</v>
      </c>
      <c r="D601" s="17" t="s">
        <v>98</v>
      </c>
      <c r="E601" s="17" t="n">
        <v>15</v>
      </c>
      <c r="F601" s="18" t="n">
        <v>60</v>
      </c>
      <c r="G601" s="19" t="n">
        <v>0</v>
      </c>
      <c r="H601" s="18" t="n">
        <v>900</v>
      </c>
      <c r="I601" s="20"/>
    </row>
    <row r="602" customFormat="false" ht="15" hidden="false" customHeight="false" outlineLevel="0" collapsed="false">
      <c r="A602" s="16" t="n">
        <v>45839</v>
      </c>
      <c r="B602" s="17" t="s">
        <v>695</v>
      </c>
      <c r="C602" s="17" t="s">
        <v>70</v>
      </c>
      <c r="D602" s="17" t="s">
        <v>96</v>
      </c>
      <c r="E602" s="17" t="n">
        <v>15</v>
      </c>
      <c r="F602" s="18" t="n">
        <v>850</v>
      </c>
      <c r="G602" s="19" t="n">
        <v>0</v>
      </c>
      <c r="H602" s="18" t="n">
        <v>12750</v>
      </c>
      <c r="I602" s="20"/>
    </row>
    <row r="603" customFormat="false" ht="15" hidden="false" customHeight="false" outlineLevel="0" collapsed="false">
      <c r="A603" s="16" t="n">
        <v>45840</v>
      </c>
      <c r="B603" s="17" t="s">
        <v>696</v>
      </c>
      <c r="C603" s="17" t="s">
        <v>73</v>
      </c>
      <c r="D603" s="17" t="s">
        <v>98</v>
      </c>
      <c r="E603" s="17" t="n">
        <v>13</v>
      </c>
      <c r="F603" s="18" t="n">
        <v>1450</v>
      </c>
      <c r="G603" s="19" t="n">
        <v>0.05</v>
      </c>
      <c r="H603" s="18" t="n">
        <v>17907.5</v>
      </c>
      <c r="I603" s="20"/>
    </row>
    <row r="604" customFormat="false" ht="15" hidden="false" customHeight="false" outlineLevel="0" collapsed="false">
      <c r="A604" s="16" t="n">
        <v>45840</v>
      </c>
      <c r="B604" s="17" t="s">
        <v>697</v>
      </c>
      <c r="C604" s="17" t="s">
        <v>78</v>
      </c>
      <c r="D604" s="17" t="s">
        <v>96</v>
      </c>
      <c r="E604" s="17" t="n">
        <v>14</v>
      </c>
      <c r="F604" s="18" t="n">
        <v>95</v>
      </c>
      <c r="G604" s="19" t="n">
        <v>0</v>
      </c>
      <c r="H604" s="18" t="n">
        <v>1330</v>
      </c>
      <c r="I604" s="20"/>
    </row>
    <row r="605" customFormat="false" ht="15" hidden="false" customHeight="false" outlineLevel="0" collapsed="false">
      <c r="A605" s="16" t="n">
        <v>45840</v>
      </c>
      <c r="B605" s="17" t="s">
        <v>698</v>
      </c>
      <c r="C605" s="17" t="s">
        <v>75</v>
      </c>
      <c r="D605" s="17" t="s">
        <v>96</v>
      </c>
      <c r="E605" s="17" t="n">
        <v>20</v>
      </c>
      <c r="F605" s="18" t="n">
        <v>120</v>
      </c>
      <c r="G605" s="19" t="n">
        <v>0.1</v>
      </c>
      <c r="H605" s="18" t="n">
        <v>2160</v>
      </c>
      <c r="I605" s="20"/>
    </row>
    <row r="606" customFormat="false" ht="15" hidden="false" customHeight="false" outlineLevel="0" collapsed="false">
      <c r="A606" s="16" t="n">
        <v>45840</v>
      </c>
      <c r="B606" s="17" t="s">
        <v>699</v>
      </c>
      <c r="C606" s="17" t="s">
        <v>73</v>
      </c>
      <c r="D606" s="17" t="s">
        <v>96</v>
      </c>
      <c r="E606" s="17" t="n">
        <v>20</v>
      </c>
      <c r="F606" s="18" t="n">
        <v>1450</v>
      </c>
      <c r="G606" s="19" t="n">
        <v>0.05</v>
      </c>
      <c r="H606" s="18" t="n">
        <v>27550</v>
      </c>
      <c r="I606" s="20"/>
    </row>
    <row r="607" customFormat="false" ht="15" hidden="false" customHeight="false" outlineLevel="0" collapsed="false">
      <c r="A607" s="16" t="n">
        <v>45840</v>
      </c>
      <c r="B607" s="17" t="s">
        <v>700</v>
      </c>
      <c r="C607" s="17" t="s">
        <v>75</v>
      </c>
      <c r="D607" s="17" t="s">
        <v>92</v>
      </c>
      <c r="E607" s="17" t="n">
        <v>1</v>
      </c>
      <c r="F607" s="18" t="n">
        <v>120</v>
      </c>
      <c r="G607" s="19" t="n">
        <v>0</v>
      </c>
      <c r="H607" s="18" t="n">
        <v>120</v>
      </c>
      <c r="I607" s="20"/>
    </row>
    <row r="608" customFormat="false" ht="15" hidden="false" customHeight="false" outlineLevel="0" collapsed="false">
      <c r="A608" s="16" t="n">
        <v>45840</v>
      </c>
      <c r="B608" s="17" t="s">
        <v>701</v>
      </c>
      <c r="C608" s="17" t="s">
        <v>70</v>
      </c>
      <c r="D608" s="17" t="s">
        <v>96</v>
      </c>
      <c r="E608" s="17" t="n">
        <v>8</v>
      </c>
      <c r="F608" s="18" t="n">
        <v>850</v>
      </c>
      <c r="G608" s="19" t="n">
        <v>0</v>
      </c>
      <c r="H608" s="18" t="n">
        <v>6800</v>
      </c>
      <c r="I608" s="20"/>
    </row>
    <row r="609" customFormat="false" ht="15" hidden="false" customHeight="false" outlineLevel="0" collapsed="false">
      <c r="A609" s="16" t="n">
        <v>45840</v>
      </c>
      <c r="B609" s="17" t="s">
        <v>702</v>
      </c>
      <c r="C609" s="17" t="s">
        <v>78</v>
      </c>
      <c r="D609" s="17" t="s">
        <v>92</v>
      </c>
      <c r="E609" s="17" t="n">
        <v>1</v>
      </c>
      <c r="F609" s="18" t="n">
        <v>95</v>
      </c>
      <c r="G609" s="19" t="n">
        <v>0</v>
      </c>
      <c r="H609" s="18" t="n">
        <v>95</v>
      </c>
      <c r="I609" s="20"/>
    </row>
    <row r="610" customFormat="false" ht="15" hidden="false" customHeight="false" outlineLevel="0" collapsed="false">
      <c r="A610" s="16" t="n">
        <v>45841</v>
      </c>
      <c r="B610" s="17" t="s">
        <v>703</v>
      </c>
      <c r="C610" s="17" t="s">
        <v>73</v>
      </c>
      <c r="D610" s="17" t="s">
        <v>102</v>
      </c>
      <c r="E610" s="17" t="n">
        <v>16</v>
      </c>
      <c r="F610" s="18" t="n">
        <v>1450</v>
      </c>
      <c r="G610" s="19" t="n">
        <v>0</v>
      </c>
      <c r="H610" s="18" t="n">
        <v>23200</v>
      </c>
      <c r="I610" s="20"/>
    </row>
    <row r="611" customFormat="false" ht="15" hidden="false" customHeight="false" outlineLevel="0" collapsed="false">
      <c r="A611" s="16" t="n">
        <v>45841</v>
      </c>
      <c r="B611" s="17" t="s">
        <v>704</v>
      </c>
      <c r="C611" s="17" t="s">
        <v>78</v>
      </c>
      <c r="D611" s="17" t="s">
        <v>98</v>
      </c>
      <c r="E611" s="17" t="n">
        <v>19</v>
      </c>
      <c r="F611" s="18" t="n">
        <v>95</v>
      </c>
      <c r="G611" s="19" t="n">
        <v>0.05</v>
      </c>
      <c r="H611" s="18" t="n">
        <v>1714.75</v>
      </c>
      <c r="I611" s="20"/>
    </row>
    <row r="612" customFormat="false" ht="15" hidden="false" customHeight="false" outlineLevel="0" collapsed="false">
      <c r="A612" s="16" t="n">
        <v>45841</v>
      </c>
      <c r="B612" s="17" t="s">
        <v>705</v>
      </c>
      <c r="C612" s="17" t="s">
        <v>78</v>
      </c>
      <c r="D612" s="17" t="s">
        <v>92</v>
      </c>
      <c r="E612" s="17" t="n">
        <v>9</v>
      </c>
      <c r="F612" s="18" t="n">
        <v>95</v>
      </c>
      <c r="G612" s="19" t="n">
        <v>0.1</v>
      </c>
      <c r="H612" s="18" t="n">
        <v>769.5</v>
      </c>
      <c r="I612" s="20"/>
    </row>
    <row r="613" customFormat="false" ht="15" hidden="false" customHeight="false" outlineLevel="0" collapsed="false">
      <c r="A613" s="16" t="n">
        <v>45841</v>
      </c>
      <c r="B613" s="17" t="s">
        <v>706</v>
      </c>
      <c r="C613" s="17" t="s">
        <v>73</v>
      </c>
      <c r="D613" s="17" t="s">
        <v>96</v>
      </c>
      <c r="E613" s="17" t="n">
        <v>8</v>
      </c>
      <c r="F613" s="18" t="n">
        <v>1450</v>
      </c>
      <c r="G613" s="19" t="n">
        <v>0.05</v>
      </c>
      <c r="H613" s="18" t="n">
        <v>11020</v>
      </c>
      <c r="I613" s="20"/>
    </row>
    <row r="614" customFormat="false" ht="15" hidden="false" customHeight="false" outlineLevel="0" collapsed="false">
      <c r="A614" s="16" t="n">
        <v>45841</v>
      </c>
      <c r="B614" s="17" t="s">
        <v>707</v>
      </c>
      <c r="C614" s="17" t="s">
        <v>78</v>
      </c>
      <c r="D614" s="17" t="s">
        <v>92</v>
      </c>
      <c r="E614" s="17" t="n">
        <v>4</v>
      </c>
      <c r="F614" s="18" t="n">
        <v>95</v>
      </c>
      <c r="G614" s="19" t="n">
        <v>0.1</v>
      </c>
      <c r="H614" s="18" t="n">
        <v>342</v>
      </c>
      <c r="I614" s="20"/>
    </row>
    <row r="615" customFormat="false" ht="15" hidden="false" customHeight="false" outlineLevel="0" collapsed="false">
      <c r="A615" s="16" t="n">
        <v>45841</v>
      </c>
      <c r="B615" s="17" t="s">
        <v>708</v>
      </c>
      <c r="C615" s="17" t="s">
        <v>73</v>
      </c>
      <c r="D615" s="17" t="s">
        <v>96</v>
      </c>
      <c r="E615" s="17" t="n">
        <v>2</v>
      </c>
      <c r="F615" s="18" t="n">
        <v>1450</v>
      </c>
      <c r="G615" s="19" t="n">
        <v>0.05</v>
      </c>
      <c r="H615" s="18" t="n">
        <v>2755</v>
      </c>
      <c r="I615" s="20"/>
    </row>
    <row r="616" customFormat="false" ht="15" hidden="false" customHeight="false" outlineLevel="0" collapsed="false">
      <c r="A616" s="16" t="n">
        <v>45841</v>
      </c>
      <c r="B616" s="17" t="s">
        <v>709</v>
      </c>
      <c r="C616" s="17" t="s">
        <v>73</v>
      </c>
      <c r="D616" s="17" t="s">
        <v>98</v>
      </c>
      <c r="E616" s="17" t="n">
        <v>14</v>
      </c>
      <c r="F616" s="18" t="n">
        <v>1450</v>
      </c>
      <c r="G616" s="19" t="n">
        <v>0</v>
      </c>
      <c r="H616" s="18" t="n">
        <v>20300</v>
      </c>
      <c r="I616" s="20"/>
    </row>
    <row r="617" customFormat="false" ht="15" hidden="false" customHeight="false" outlineLevel="0" collapsed="false">
      <c r="A617" s="16" t="n">
        <v>45841</v>
      </c>
      <c r="B617" s="17" t="s">
        <v>710</v>
      </c>
      <c r="C617" s="17" t="s">
        <v>73</v>
      </c>
      <c r="D617" s="17" t="s">
        <v>96</v>
      </c>
      <c r="E617" s="17" t="n">
        <v>4</v>
      </c>
      <c r="F617" s="18" t="n">
        <v>1450</v>
      </c>
      <c r="G617" s="19" t="n">
        <v>0</v>
      </c>
      <c r="H617" s="18" t="n">
        <v>5800</v>
      </c>
      <c r="I617" s="20"/>
    </row>
    <row r="618" customFormat="false" ht="15" hidden="false" customHeight="false" outlineLevel="0" collapsed="false">
      <c r="A618" s="16" t="n">
        <v>45842</v>
      </c>
      <c r="B618" s="17" t="s">
        <v>711</v>
      </c>
      <c r="C618" s="17" t="s">
        <v>75</v>
      </c>
      <c r="D618" s="17" t="s">
        <v>92</v>
      </c>
      <c r="E618" s="17" t="n">
        <v>13</v>
      </c>
      <c r="F618" s="18" t="n">
        <v>120</v>
      </c>
      <c r="G618" s="19" t="n">
        <v>0</v>
      </c>
      <c r="H618" s="18" t="n">
        <v>1560</v>
      </c>
      <c r="I618" s="20"/>
    </row>
    <row r="619" customFormat="false" ht="15" hidden="false" customHeight="false" outlineLevel="0" collapsed="false">
      <c r="A619" s="16" t="n">
        <v>45842</v>
      </c>
      <c r="B619" s="17" t="s">
        <v>712</v>
      </c>
      <c r="C619" s="17" t="s">
        <v>81</v>
      </c>
      <c r="D619" s="17" t="s">
        <v>92</v>
      </c>
      <c r="E619" s="17" t="n">
        <v>11</v>
      </c>
      <c r="F619" s="18" t="n">
        <v>60</v>
      </c>
      <c r="G619" s="19" t="n">
        <v>0</v>
      </c>
      <c r="H619" s="18" t="n">
        <v>660</v>
      </c>
      <c r="I619" s="20"/>
    </row>
    <row r="620" customFormat="false" ht="15" hidden="false" customHeight="false" outlineLevel="0" collapsed="false">
      <c r="A620" s="16" t="n">
        <v>45842</v>
      </c>
      <c r="B620" s="17" t="s">
        <v>713</v>
      </c>
      <c r="C620" s="17" t="s">
        <v>75</v>
      </c>
      <c r="D620" s="17" t="s">
        <v>96</v>
      </c>
      <c r="E620" s="17" t="n">
        <v>5</v>
      </c>
      <c r="F620" s="18" t="n">
        <v>120</v>
      </c>
      <c r="G620" s="19" t="n">
        <v>0</v>
      </c>
      <c r="H620" s="18" t="n">
        <v>600</v>
      </c>
      <c r="I620" s="20"/>
    </row>
    <row r="621" customFormat="false" ht="15" hidden="false" customHeight="false" outlineLevel="0" collapsed="false">
      <c r="A621" s="16" t="n">
        <v>45843</v>
      </c>
      <c r="B621" s="17" t="s">
        <v>714</v>
      </c>
      <c r="C621" s="17" t="s">
        <v>70</v>
      </c>
      <c r="D621" s="17" t="s">
        <v>92</v>
      </c>
      <c r="E621" s="17" t="n">
        <v>20</v>
      </c>
      <c r="F621" s="18" t="n">
        <v>850</v>
      </c>
      <c r="G621" s="19" t="n">
        <v>0</v>
      </c>
      <c r="H621" s="18" t="n">
        <v>17000</v>
      </c>
      <c r="I621" s="20"/>
    </row>
    <row r="622" customFormat="false" ht="15" hidden="false" customHeight="false" outlineLevel="0" collapsed="false">
      <c r="A622" s="16" t="n">
        <v>45844</v>
      </c>
      <c r="B622" s="17" t="s">
        <v>715</v>
      </c>
      <c r="C622" s="17" t="s">
        <v>81</v>
      </c>
      <c r="D622" s="17" t="s">
        <v>92</v>
      </c>
      <c r="E622" s="17" t="n">
        <v>16</v>
      </c>
      <c r="F622" s="18" t="n">
        <v>60</v>
      </c>
      <c r="G622" s="19" t="n">
        <v>0</v>
      </c>
      <c r="H622" s="18" t="n">
        <v>960</v>
      </c>
      <c r="I622" s="20"/>
    </row>
    <row r="623" customFormat="false" ht="15" hidden="false" customHeight="false" outlineLevel="0" collapsed="false">
      <c r="A623" s="16" t="n">
        <v>45844</v>
      </c>
      <c r="B623" s="17" t="s">
        <v>716</v>
      </c>
      <c r="C623" s="17" t="s">
        <v>81</v>
      </c>
      <c r="D623" s="17" t="s">
        <v>98</v>
      </c>
      <c r="E623" s="17" t="n">
        <v>10</v>
      </c>
      <c r="F623" s="18" t="n">
        <v>60</v>
      </c>
      <c r="G623" s="19" t="n">
        <v>0.1</v>
      </c>
      <c r="H623" s="18" t="n">
        <v>540</v>
      </c>
      <c r="I623" s="20"/>
    </row>
    <row r="624" customFormat="false" ht="15" hidden="false" customHeight="false" outlineLevel="0" collapsed="false">
      <c r="A624" s="16" t="n">
        <v>45845</v>
      </c>
      <c r="B624" s="17" t="s">
        <v>717</v>
      </c>
      <c r="C624" s="17" t="s">
        <v>81</v>
      </c>
      <c r="D624" s="17" t="s">
        <v>98</v>
      </c>
      <c r="E624" s="17" t="n">
        <v>3</v>
      </c>
      <c r="F624" s="18" t="n">
        <v>60</v>
      </c>
      <c r="G624" s="19" t="n">
        <v>0.05</v>
      </c>
      <c r="H624" s="18" t="n">
        <v>171</v>
      </c>
      <c r="I624" s="20"/>
    </row>
    <row r="625" customFormat="false" ht="15" hidden="false" customHeight="false" outlineLevel="0" collapsed="false">
      <c r="A625" s="16" t="n">
        <v>45845</v>
      </c>
      <c r="B625" s="17" t="s">
        <v>718</v>
      </c>
      <c r="C625" s="17" t="s">
        <v>73</v>
      </c>
      <c r="D625" s="17" t="s">
        <v>98</v>
      </c>
      <c r="E625" s="17" t="n">
        <v>11</v>
      </c>
      <c r="F625" s="18" t="n">
        <v>1450</v>
      </c>
      <c r="G625" s="19" t="n">
        <v>0.1</v>
      </c>
      <c r="H625" s="18" t="n">
        <v>14355</v>
      </c>
      <c r="I625" s="20"/>
    </row>
    <row r="626" customFormat="false" ht="15" hidden="false" customHeight="false" outlineLevel="0" collapsed="false">
      <c r="A626" s="16" t="n">
        <v>45846</v>
      </c>
      <c r="B626" s="17" t="s">
        <v>719</v>
      </c>
      <c r="C626" s="17" t="s">
        <v>70</v>
      </c>
      <c r="D626" s="17" t="s">
        <v>96</v>
      </c>
      <c r="E626" s="17" t="n">
        <v>8</v>
      </c>
      <c r="F626" s="18" t="n">
        <v>850</v>
      </c>
      <c r="G626" s="19" t="n">
        <v>0</v>
      </c>
      <c r="H626" s="18" t="n">
        <v>6800</v>
      </c>
      <c r="I626" s="20"/>
    </row>
    <row r="627" customFormat="false" ht="15" hidden="false" customHeight="false" outlineLevel="0" collapsed="false">
      <c r="A627" s="16" t="n">
        <v>45846</v>
      </c>
      <c r="B627" s="17" t="s">
        <v>720</v>
      </c>
      <c r="C627" s="17" t="s">
        <v>78</v>
      </c>
      <c r="D627" s="17" t="s">
        <v>98</v>
      </c>
      <c r="E627" s="17" t="n">
        <v>11</v>
      </c>
      <c r="F627" s="18" t="n">
        <v>95</v>
      </c>
      <c r="G627" s="19" t="n">
        <v>0.05</v>
      </c>
      <c r="H627" s="18" t="n">
        <v>992.75</v>
      </c>
      <c r="I627" s="20"/>
    </row>
    <row r="628" customFormat="false" ht="15" hidden="false" customHeight="false" outlineLevel="0" collapsed="false">
      <c r="A628" s="16" t="n">
        <v>45847</v>
      </c>
      <c r="B628" s="17" t="s">
        <v>721</v>
      </c>
      <c r="C628" s="17" t="s">
        <v>81</v>
      </c>
      <c r="D628" s="17" t="s">
        <v>98</v>
      </c>
      <c r="E628" s="17" t="n">
        <v>4</v>
      </c>
      <c r="F628" s="18" t="n">
        <v>60</v>
      </c>
      <c r="G628" s="19" t="n">
        <v>0</v>
      </c>
      <c r="H628" s="18" t="n">
        <v>240</v>
      </c>
      <c r="I628" s="20"/>
    </row>
    <row r="629" customFormat="false" ht="15" hidden="false" customHeight="false" outlineLevel="0" collapsed="false">
      <c r="A629" s="16" t="n">
        <v>45847</v>
      </c>
      <c r="B629" s="17" t="s">
        <v>722</v>
      </c>
      <c r="C629" s="17" t="s">
        <v>75</v>
      </c>
      <c r="D629" s="17" t="s">
        <v>96</v>
      </c>
      <c r="E629" s="17" t="n">
        <v>7</v>
      </c>
      <c r="F629" s="18" t="n">
        <v>120</v>
      </c>
      <c r="G629" s="19" t="n">
        <v>0</v>
      </c>
      <c r="H629" s="18" t="n">
        <v>840</v>
      </c>
      <c r="I629" s="20"/>
    </row>
    <row r="630" customFormat="false" ht="15" hidden="false" customHeight="false" outlineLevel="0" collapsed="false">
      <c r="A630" s="16" t="n">
        <v>45847</v>
      </c>
      <c r="B630" s="17" t="s">
        <v>723</v>
      </c>
      <c r="C630" s="17" t="s">
        <v>78</v>
      </c>
      <c r="D630" s="17" t="s">
        <v>96</v>
      </c>
      <c r="E630" s="17" t="n">
        <v>12</v>
      </c>
      <c r="F630" s="18" t="n">
        <v>95</v>
      </c>
      <c r="G630" s="19" t="n">
        <v>0.05</v>
      </c>
      <c r="H630" s="18" t="n">
        <v>1083</v>
      </c>
      <c r="I630" s="20"/>
    </row>
    <row r="631" customFormat="false" ht="15" hidden="false" customHeight="false" outlineLevel="0" collapsed="false">
      <c r="A631" s="16" t="n">
        <v>45847</v>
      </c>
      <c r="B631" s="17" t="s">
        <v>724</v>
      </c>
      <c r="C631" s="17" t="s">
        <v>81</v>
      </c>
      <c r="D631" s="17" t="s">
        <v>92</v>
      </c>
      <c r="E631" s="17" t="n">
        <v>3</v>
      </c>
      <c r="F631" s="18" t="n">
        <v>60</v>
      </c>
      <c r="G631" s="19" t="n">
        <v>0</v>
      </c>
      <c r="H631" s="18" t="n">
        <v>180</v>
      </c>
      <c r="I631" s="20"/>
    </row>
    <row r="632" customFormat="false" ht="15" hidden="false" customHeight="false" outlineLevel="0" collapsed="false">
      <c r="A632" s="16" t="n">
        <v>45847</v>
      </c>
      <c r="B632" s="17" t="s">
        <v>725</v>
      </c>
      <c r="C632" s="17" t="s">
        <v>70</v>
      </c>
      <c r="D632" s="17" t="s">
        <v>96</v>
      </c>
      <c r="E632" s="17" t="n">
        <v>4</v>
      </c>
      <c r="F632" s="18" t="n">
        <v>850</v>
      </c>
      <c r="G632" s="19" t="n">
        <v>0</v>
      </c>
      <c r="H632" s="18" t="n">
        <v>3400</v>
      </c>
      <c r="I632" s="20"/>
    </row>
    <row r="633" customFormat="false" ht="15" hidden="false" customHeight="false" outlineLevel="0" collapsed="false">
      <c r="A633" s="16" t="n">
        <v>45848</v>
      </c>
      <c r="B633" s="17" t="s">
        <v>726</v>
      </c>
      <c r="C633" s="17" t="s">
        <v>78</v>
      </c>
      <c r="D633" s="17" t="s">
        <v>96</v>
      </c>
      <c r="E633" s="17" t="n">
        <v>2</v>
      </c>
      <c r="F633" s="18" t="n">
        <v>95</v>
      </c>
      <c r="G633" s="19" t="n">
        <v>0.1</v>
      </c>
      <c r="H633" s="18" t="n">
        <v>171</v>
      </c>
      <c r="I633" s="20"/>
    </row>
    <row r="634" customFormat="false" ht="15" hidden="false" customHeight="false" outlineLevel="0" collapsed="false">
      <c r="A634" s="16" t="n">
        <v>45848</v>
      </c>
      <c r="B634" s="17" t="s">
        <v>727</v>
      </c>
      <c r="C634" s="17" t="s">
        <v>75</v>
      </c>
      <c r="D634" s="17" t="s">
        <v>102</v>
      </c>
      <c r="E634" s="17" t="n">
        <v>6</v>
      </c>
      <c r="F634" s="18" t="n">
        <v>120</v>
      </c>
      <c r="G634" s="19" t="n">
        <v>0</v>
      </c>
      <c r="H634" s="18" t="n">
        <v>720</v>
      </c>
      <c r="I634" s="20"/>
    </row>
    <row r="635" customFormat="false" ht="15" hidden="false" customHeight="false" outlineLevel="0" collapsed="false">
      <c r="A635" s="16" t="n">
        <v>45848</v>
      </c>
      <c r="B635" s="17" t="s">
        <v>728</v>
      </c>
      <c r="C635" s="17" t="s">
        <v>70</v>
      </c>
      <c r="D635" s="17" t="s">
        <v>102</v>
      </c>
      <c r="E635" s="17" t="n">
        <v>15</v>
      </c>
      <c r="F635" s="18" t="n">
        <v>850</v>
      </c>
      <c r="G635" s="19" t="n">
        <v>0.05</v>
      </c>
      <c r="H635" s="18" t="n">
        <v>12112.5</v>
      </c>
      <c r="I635" s="20"/>
    </row>
    <row r="636" customFormat="false" ht="15" hidden="false" customHeight="false" outlineLevel="0" collapsed="false">
      <c r="A636" s="16" t="n">
        <v>45849</v>
      </c>
      <c r="B636" s="17" t="s">
        <v>729</v>
      </c>
      <c r="C636" s="17" t="s">
        <v>73</v>
      </c>
      <c r="D636" s="17" t="s">
        <v>92</v>
      </c>
      <c r="E636" s="17" t="n">
        <v>12</v>
      </c>
      <c r="F636" s="18" t="n">
        <v>1450</v>
      </c>
      <c r="G636" s="19" t="n">
        <v>0</v>
      </c>
      <c r="H636" s="18" t="n">
        <v>17400</v>
      </c>
      <c r="I636" s="20"/>
    </row>
    <row r="637" customFormat="false" ht="15" hidden="false" customHeight="false" outlineLevel="0" collapsed="false">
      <c r="A637" s="16" t="n">
        <v>45849</v>
      </c>
      <c r="B637" s="17" t="s">
        <v>730</v>
      </c>
      <c r="C637" s="17" t="s">
        <v>75</v>
      </c>
      <c r="D637" s="17" t="s">
        <v>102</v>
      </c>
      <c r="E637" s="17" t="n">
        <v>19</v>
      </c>
      <c r="F637" s="18" t="n">
        <v>120</v>
      </c>
      <c r="G637" s="19" t="n">
        <v>0</v>
      </c>
      <c r="H637" s="18" t="n">
        <v>2280</v>
      </c>
      <c r="I637" s="20"/>
    </row>
    <row r="638" customFormat="false" ht="15" hidden="false" customHeight="false" outlineLevel="0" collapsed="false">
      <c r="A638" s="16" t="n">
        <v>45849</v>
      </c>
      <c r="B638" s="17" t="s">
        <v>731</v>
      </c>
      <c r="C638" s="17" t="s">
        <v>73</v>
      </c>
      <c r="D638" s="17" t="s">
        <v>96</v>
      </c>
      <c r="E638" s="17" t="n">
        <v>10</v>
      </c>
      <c r="F638" s="18" t="n">
        <v>1450</v>
      </c>
      <c r="G638" s="19" t="n">
        <v>0.05</v>
      </c>
      <c r="H638" s="18" t="n">
        <v>13775</v>
      </c>
      <c r="I638" s="20"/>
    </row>
    <row r="639" customFormat="false" ht="15" hidden="false" customHeight="false" outlineLevel="0" collapsed="false">
      <c r="A639" s="16" t="n">
        <v>45849</v>
      </c>
      <c r="B639" s="17" t="s">
        <v>732</v>
      </c>
      <c r="C639" s="17" t="s">
        <v>81</v>
      </c>
      <c r="D639" s="17" t="s">
        <v>98</v>
      </c>
      <c r="E639" s="17" t="n">
        <v>8</v>
      </c>
      <c r="F639" s="18" t="n">
        <v>60</v>
      </c>
      <c r="G639" s="19" t="n">
        <v>0</v>
      </c>
      <c r="H639" s="18" t="n">
        <v>480</v>
      </c>
      <c r="I639" s="20"/>
    </row>
    <row r="640" customFormat="false" ht="15" hidden="false" customHeight="false" outlineLevel="0" collapsed="false">
      <c r="A640" s="16" t="n">
        <v>45849</v>
      </c>
      <c r="B640" s="17" t="s">
        <v>733</v>
      </c>
      <c r="C640" s="17" t="s">
        <v>70</v>
      </c>
      <c r="D640" s="17" t="s">
        <v>92</v>
      </c>
      <c r="E640" s="17" t="n">
        <v>16</v>
      </c>
      <c r="F640" s="18" t="n">
        <v>850</v>
      </c>
      <c r="G640" s="19" t="n">
        <v>0</v>
      </c>
      <c r="H640" s="18" t="n">
        <v>13600</v>
      </c>
      <c r="I640" s="20"/>
    </row>
    <row r="641" customFormat="false" ht="15" hidden="false" customHeight="false" outlineLevel="0" collapsed="false">
      <c r="A641" s="16" t="n">
        <v>45850</v>
      </c>
      <c r="B641" s="17" t="s">
        <v>734</v>
      </c>
      <c r="C641" s="17" t="s">
        <v>75</v>
      </c>
      <c r="D641" s="17" t="s">
        <v>92</v>
      </c>
      <c r="E641" s="17" t="n">
        <v>14</v>
      </c>
      <c r="F641" s="18" t="n">
        <v>120</v>
      </c>
      <c r="G641" s="19" t="n">
        <v>0</v>
      </c>
      <c r="H641" s="18" t="n">
        <v>1680</v>
      </c>
      <c r="I641" s="20"/>
    </row>
    <row r="642" customFormat="false" ht="15" hidden="false" customHeight="false" outlineLevel="0" collapsed="false">
      <c r="A642" s="16" t="n">
        <v>45850</v>
      </c>
      <c r="B642" s="17" t="s">
        <v>735</v>
      </c>
      <c r="C642" s="17" t="s">
        <v>81</v>
      </c>
      <c r="D642" s="17" t="s">
        <v>102</v>
      </c>
      <c r="E642" s="17" t="n">
        <v>1</v>
      </c>
      <c r="F642" s="18" t="n">
        <v>60</v>
      </c>
      <c r="G642" s="19" t="n">
        <v>0</v>
      </c>
      <c r="H642" s="18" t="n">
        <v>60</v>
      </c>
      <c r="I642" s="20"/>
    </row>
    <row r="643" customFormat="false" ht="15" hidden="false" customHeight="false" outlineLevel="0" collapsed="false">
      <c r="A643" s="16" t="n">
        <v>45850</v>
      </c>
      <c r="B643" s="17" t="s">
        <v>736</v>
      </c>
      <c r="C643" s="17" t="s">
        <v>70</v>
      </c>
      <c r="D643" s="17" t="s">
        <v>96</v>
      </c>
      <c r="E643" s="17" t="n">
        <v>10</v>
      </c>
      <c r="F643" s="18" t="n">
        <v>850</v>
      </c>
      <c r="G643" s="19" t="n">
        <v>0</v>
      </c>
      <c r="H643" s="18" t="n">
        <v>8500</v>
      </c>
      <c r="I643" s="20"/>
    </row>
    <row r="644" customFormat="false" ht="15" hidden="false" customHeight="false" outlineLevel="0" collapsed="false">
      <c r="A644" s="16" t="n">
        <v>45850</v>
      </c>
      <c r="B644" s="17" t="s">
        <v>737</v>
      </c>
      <c r="C644" s="17" t="s">
        <v>73</v>
      </c>
      <c r="D644" s="17" t="s">
        <v>96</v>
      </c>
      <c r="E644" s="17" t="n">
        <v>4</v>
      </c>
      <c r="F644" s="18" t="n">
        <v>1450</v>
      </c>
      <c r="G644" s="19" t="n">
        <v>0.1</v>
      </c>
      <c r="H644" s="18" t="n">
        <v>5220</v>
      </c>
      <c r="I644" s="20"/>
    </row>
    <row r="645" customFormat="false" ht="15" hidden="false" customHeight="false" outlineLevel="0" collapsed="false">
      <c r="A645" s="16" t="n">
        <v>45850</v>
      </c>
      <c r="B645" s="17" t="s">
        <v>738</v>
      </c>
      <c r="C645" s="17" t="s">
        <v>73</v>
      </c>
      <c r="D645" s="17" t="s">
        <v>102</v>
      </c>
      <c r="E645" s="17" t="n">
        <v>2</v>
      </c>
      <c r="F645" s="18" t="n">
        <v>1450</v>
      </c>
      <c r="G645" s="19" t="n">
        <v>0</v>
      </c>
      <c r="H645" s="18" t="n">
        <v>2900</v>
      </c>
      <c r="I645" s="20"/>
    </row>
    <row r="646" customFormat="false" ht="15" hidden="false" customHeight="false" outlineLevel="0" collapsed="false">
      <c r="A646" s="16" t="n">
        <v>45850</v>
      </c>
      <c r="B646" s="17" t="s">
        <v>739</v>
      </c>
      <c r="C646" s="17" t="s">
        <v>78</v>
      </c>
      <c r="D646" s="17" t="s">
        <v>96</v>
      </c>
      <c r="E646" s="17" t="n">
        <v>10</v>
      </c>
      <c r="F646" s="18" t="n">
        <v>95</v>
      </c>
      <c r="G646" s="19" t="n">
        <v>0.1</v>
      </c>
      <c r="H646" s="18" t="n">
        <v>855</v>
      </c>
      <c r="I646" s="20"/>
    </row>
    <row r="647" customFormat="false" ht="15" hidden="false" customHeight="false" outlineLevel="0" collapsed="false">
      <c r="A647" s="16" t="n">
        <v>45850</v>
      </c>
      <c r="B647" s="17" t="s">
        <v>740</v>
      </c>
      <c r="C647" s="17" t="s">
        <v>73</v>
      </c>
      <c r="D647" s="17" t="s">
        <v>92</v>
      </c>
      <c r="E647" s="17" t="n">
        <v>16</v>
      </c>
      <c r="F647" s="18" t="n">
        <v>1450</v>
      </c>
      <c r="G647" s="19" t="n">
        <v>0.1</v>
      </c>
      <c r="H647" s="18" t="n">
        <v>20880</v>
      </c>
      <c r="I647" s="20"/>
    </row>
    <row r="648" customFormat="false" ht="15" hidden="false" customHeight="false" outlineLevel="0" collapsed="false">
      <c r="A648" s="16" t="n">
        <v>45851</v>
      </c>
      <c r="B648" s="17" t="s">
        <v>741</v>
      </c>
      <c r="C648" s="17" t="s">
        <v>70</v>
      </c>
      <c r="D648" s="17" t="s">
        <v>98</v>
      </c>
      <c r="E648" s="17" t="n">
        <v>2</v>
      </c>
      <c r="F648" s="18" t="n">
        <v>850</v>
      </c>
      <c r="G648" s="19" t="n">
        <v>0</v>
      </c>
      <c r="H648" s="18" t="n">
        <v>1700</v>
      </c>
      <c r="I648" s="20"/>
    </row>
    <row r="649" customFormat="false" ht="15" hidden="false" customHeight="false" outlineLevel="0" collapsed="false">
      <c r="A649" s="16" t="n">
        <v>45852</v>
      </c>
      <c r="B649" s="17" t="s">
        <v>742</v>
      </c>
      <c r="C649" s="17" t="s">
        <v>70</v>
      </c>
      <c r="D649" s="17" t="s">
        <v>102</v>
      </c>
      <c r="E649" s="17" t="n">
        <v>8</v>
      </c>
      <c r="F649" s="18" t="n">
        <v>850</v>
      </c>
      <c r="G649" s="19" t="n">
        <v>0.05</v>
      </c>
      <c r="H649" s="18" t="n">
        <v>6460</v>
      </c>
      <c r="I649" s="20"/>
    </row>
    <row r="650" customFormat="false" ht="15" hidden="false" customHeight="false" outlineLevel="0" collapsed="false">
      <c r="A650" s="16" t="n">
        <v>45852</v>
      </c>
      <c r="B650" s="17" t="s">
        <v>743</v>
      </c>
      <c r="C650" s="17" t="s">
        <v>70</v>
      </c>
      <c r="D650" s="17" t="s">
        <v>102</v>
      </c>
      <c r="E650" s="17" t="n">
        <v>9</v>
      </c>
      <c r="F650" s="18" t="n">
        <v>850</v>
      </c>
      <c r="G650" s="19" t="n">
        <v>0</v>
      </c>
      <c r="H650" s="18" t="n">
        <v>7650</v>
      </c>
      <c r="I650" s="20"/>
    </row>
    <row r="651" customFormat="false" ht="15" hidden="false" customHeight="false" outlineLevel="0" collapsed="false">
      <c r="A651" s="16" t="n">
        <v>45852</v>
      </c>
      <c r="B651" s="17" t="s">
        <v>744</v>
      </c>
      <c r="C651" s="17" t="s">
        <v>75</v>
      </c>
      <c r="D651" s="17" t="s">
        <v>96</v>
      </c>
      <c r="E651" s="17" t="n">
        <v>9</v>
      </c>
      <c r="F651" s="18" t="n">
        <v>120</v>
      </c>
      <c r="G651" s="19" t="n">
        <v>0.05</v>
      </c>
      <c r="H651" s="18" t="n">
        <v>1026</v>
      </c>
      <c r="I651" s="20"/>
    </row>
    <row r="652" customFormat="false" ht="15" hidden="false" customHeight="false" outlineLevel="0" collapsed="false">
      <c r="A652" s="16" t="n">
        <v>45852</v>
      </c>
      <c r="B652" s="17" t="s">
        <v>745</v>
      </c>
      <c r="C652" s="17" t="s">
        <v>70</v>
      </c>
      <c r="D652" s="17" t="s">
        <v>102</v>
      </c>
      <c r="E652" s="17" t="n">
        <v>5</v>
      </c>
      <c r="F652" s="18" t="n">
        <v>850</v>
      </c>
      <c r="G652" s="19" t="n">
        <v>0</v>
      </c>
      <c r="H652" s="18" t="n">
        <v>4250</v>
      </c>
      <c r="I652" s="20"/>
    </row>
    <row r="653" customFormat="false" ht="15" hidden="false" customHeight="false" outlineLevel="0" collapsed="false">
      <c r="A653" s="16" t="n">
        <v>45853</v>
      </c>
      <c r="B653" s="17" t="s">
        <v>746</v>
      </c>
      <c r="C653" s="17" t="s">
        <v>73</v>
      </c>
      <c r="D653" s="17" t="s">
        <v>102</v>
      </c>
      <c r="E653" s="17" t="n">
        <v>14</v>
      </c>
      <c r="F653" s="18" t="n">
        <v>1450</v>
      </c>
      <c r="G653" s="19" t="n">
        <v>0.05</v>
      </c>
      <c r="H653" s="18" t="n">
        <v>19285</v>
      </c>
      <c r="I653" s="20"/>
    </row>
    <row r="654" customFormat="false" ht="15" hidden="false" customHeight="false" outlineLevel="0" collapsed="false">
      <c r="A654" s="16" t="n">
        <v>45853</v>
      </c>
      <c r="B654" s="17" t="s">
        <v>747</v>
      </c>
      <c r="C654" s="17" t="s">
        <v>75</v>
      </c>
      <c r="D654" s="17" t="s">
        <v>96</v>
      </c>
      <c r="E654" s="17" t="n">
        <v>16</v>
      </c>
      <c r="F654" s="18" t="n">
        <v>120</v>
      </c>
      <c r="G654" s="19" t="n">
        <v>0</v>
      </c>
      <c r="H654" s="18" t="n">
        <v>1920</v>
      </c>
      <c r="I654" s="20"/>
    </row>
    <row r="655" customFormat="false" ht="15" hidden="false" customHeight="false" outlineLevel="0" collapsed="false">
      <c r="A655" s="16" t="n">
        <v>45853</v>
      </c>
      <c r="B655" s="17" t="s">
        <v>748</v>
      </c>
      <c r="C655" s="17" t="s">
        <v>81</v>
      </c>
      <c r="D655" s="17" t="s">
        <v>96</v>
      </c>
      <c r="E655" s="17" t="n">
        <v>15</v>
      </c>
      <c r="F655" s="18" t="n">
        <v>60</v>
      </c>
      <c r="G655" s="19" t="n">
        <v>0</v>
      </c>
      <c r="H655" s="18" t="n">
        <v>900</v>
      </c>
      <c r="I655" s="20"/>
    </row>
    <row r="656" customFormat="false" ht="15" hidden="false" customHeight="false" outlineLevel="0" collapsed="false">
      <c r="A656" s="16" t="n">
        <v>45853</v>
      </c>
      <c r="B656" s="17" t="s">
        <v>749</v>
      </c>
      <c r="C656" s="17" t="s">
        <v>78</v>
      </c>
      <c r="D656" s="17" t="s">
        <v>96</v>
      </c>
      <c r="E656" s="17" t="n">
        <v>13</v>
      </c>
      <c r="F656" s="18" t="n">
        <v>95</v>
      </c>
      <c r="G656" s="19" t="n">
        <v>0.05</v>
      </c>
      <c r="H656" s="18" t="n">
        <v>1173.25</v>
      </c>
      <c r="I656" s="20"/>
    </row>
    <row r="657" customFormat="false" ht="15" hidden="false" customHeight="false" outlineLevel="0" collapsed="false">
      <c r="A657" s="16" t="n">
        <v>45853</v>
      </c>
      <c r="B657" s="17" t="s">
        <v>750</v>
      </c>
      <c r="C657" s="17" t="s">
        <v>70</v>
      </c>
      <c r="D657" s="17" t="s">
        <v>92</v>
      </c>
      <c r="E657" s="17" t="n">
        <v>18</v>
      </c>
      <c r="F657" s="18" t="n">
        <v>850</v>
      </c>
      <c r="G657" s="19" t="n">
        <v>0</v>
      </c>
      <c r="H657" s="18" t="n">
        <v>15300</v>
      </c>
      <c r="I657" s="20"/>
    </row>
    <row r="658" customFormat="false" ht="15" hidden="false" customHeight="false" outlineLevel="0" collapsed="false">
      <c r="A658" s="16" t="n">
        <v>45853</v>
      </c>
      <c r="B658" s="17" t="s">
        <v>751</v>
      </c>
      <c r="C658" s="17" t="s">
        <v>81</v>
      </c>
      <c r="D658" s="17" t="s">
        <v>102</v>
      </c>
      <c r="E658" s="17" t="n">
        <v>17</v>
      </c>
      <c r="F658" s="18" t="n">
        <v>60</v>
      </c>
      <c r="G658" s="19" t="n">
        <v>0.05</v>
      </c>
      <c r="H658" s="18" t="n">
        <v>969</v>
      </c>
      <c r="I658" s="20"/>
    </row>
    <row r="659" customFormat="false" ht="15" hidden="false" customHeight="false" outlineLevel="0" collapsed="false">
      <c r="A659" s="16" t="n">
        <v>45853</v>
      </c>
      <c r="B659" s="17" t="s">
        <v>752</v>
      </c>
      <c r="C659" s="17" t="s">
        <v>73</v>
      </c>
      <c r="D659" s="17" t="s">
        <v>92</v>
      </c>
      <c r="E659" s="17" t="n">
        <v>4</v>
      </c>
      <c r="F659" s="18" t="n">
        <v>1450</v>
      </c>
      <c r="G659" s="19" t="n">
        <v>0.05</v>
      </c>
      <c r="H659" s="18" t="n">
        <v>5510</v>
      </c>
      <c r="I659" s="20"/>
    </row>
    <row r="660" customFormat="false" ht="15" hidden="false" customHeight="false" outlineLevel="0" collapsed="false">
      <c r="A660" s="16" t="n">
        <v>45854</v>
      </c>
      <c r="B660" s="17" t="s">
        <v>753</v>
      </c>
      <c r="C660" s="17" t="s">
        <v>81</v>
      </c>
      <c r="D660" s="17" t="s">
        <v>102</v>
      </c>
      <c r="E660" s="17" t="n">
        <v>6</v>
      </c>
      <c r="F660" s="18" t="n">
        <v>60</v>
      </c>
      <c r="G660" s="19" t="n">
        <v>0.05</v>
      </c>
      <c r="H660" s="18" t="n">
        <v>342</v>
      </c>
      <c r="I660" s="20"/>
    </row>
    <row r="661" customFormat="false" ht="15" hidden="false" customHeight="false" outlineLevel="0" collapsed="false">
      <c r="A661" s="16" t="n">
        <v>45854</v>
      </c>
      <c r="B661" s="17" t="s">
        <v>754</v>
      </c>
      <c r="C661" s="17" t="s">
        <v>70</v>
      </c>
      <c r="D661" s="17" t="s">
        <v>102</v>
      </c>
      <c r="E661" s="17" t="n">
        <v>17</v>
      </c>
      <c r="F661" s="18" t="n">
        <v>850</v>
      </c>
      <c r="G661" s="19" t="n">
        <v>0</v>
      </c>
      <c r="H661" s="18" t="n">
        <v>14450</v>
      </c>
      <c r="I661" s="20"/>
    </row>
    <row r="662" customFormat="false" ht="15" hidden="false" customHeight="false" outlineLevel="0" collapsed="false">
      <c r="A662" s="16" t="n">
        <v>45854</v>
      </c>
      <c r="B662" s="17" t="s">
        <v>755</v>
      </c>
      <c r="C662" s="17" t="s">
        <v>70</v>
      </c>
      <c r="D662" s="17" t="s">
        <v>96</v>
      </c>
      <c r="E662" s="17" t="n">
        <v>3</v>
      </c>
      <c r="F662" s="18" t="n">
        <v>850</v>
      </c>
      <c r="G662" s="19" t="n">
        <v>0</v>
      </c>
      <c r="H662" s="18" t="n">
        <v>2550</v>
      </c>
      <c r="I662" s="20"/>
    </row>
    <row r="663" customFormat="false" ht="15" hidden="false" customHeight="false" outlineLevel="0" collapsed="false">
      <c r="A663" s="16" t="n">
        <v>45855</v>
      </c>
      <c r="B663" s="17" t="s">
        <v>756</v>
      </c>
      <c r="C663" s="17" t="s">
        <v>70</v>
      </c>
      <c r="D663" s="17" t="s">
        <v>98</v>
      </c>
      <c r="E663" s="17" t="n">
        <v>2</v>
      </c>
      <c r="F663" s="18" t="n">
        <v>850</v>
      </c>
      <c r="G663" s="19" t="n">
        <v>0</v>
      </c>
      <c r="H663" s="18" t="n">
        <v>1700</v>
      </c>
      <c r="I663" s="20"/>
    </row>
    <row r="664" customFormat="false" ht="15" hidden="false" customHeight="false" outlineLevel="0" collapsed="false">
      <c r="A664" s="16" t="n">
        <v>45855</v>
      </c>
      <c r="B664" s="17" t="s">
        <v>757</v>
      </c>
      <c r="C664" s="17" t="s">
        <v>78</v>
      </c>
      <c r="D664" s="17" t="s">
        <v>102</v>
      </c>
      <c r="E664" s="17" t="n">
        <v>5</v>
      </c>
      <c r="F664" s="18" t="n">
        <v>95</v>
      </c>
      <c r="G664" s="19" t="n">
        <v>0.1</v>
      </c>
      <c r="H664" s="18" t="n">
        <v>427.5</v>
      </c>
      <c r="I664" s="20"/>
    </row>
    <row r="665" customFormat="false" ht="15" hidden="false" customHeight="false" outlineLevel="0" collapsed="false">
      <c r="A665" s="16" t="n">
        <v>45855</v>
      </c>
      <c r="B665" s="17" t="s">
        <v>758</v>
      </c>
      <c r="C665" s="17" t="s">
        <v>70</v>
      </c>
      <c r="D665" s="17" t="s">
        <v>102</v>
      </c>
      <c r="E665" s="17" t="n">
        <v>12</v>
      </c>
      <c r="F665" s="18" t="n">
        <v>850</v>
      </c>
      <c r="G665" s="19" t="n">
        <v>0</v>
      </c>
      <c r="H665" s="18" t="n">
        <v>10200</v>
      </c>
      <c r="I665" s="20"/>
    </row>
    <row r="666" customFormat="false" ht="15" hidden="false" customHeight="false" outlineLevel="0" collapsed="false">
      <c r="A666" s="16" t="n">
        <v>45855</v>
      </c>
      <c r="B666" s="17" t="s">
        <v>759</v>
      </c>
      <c r="C666" s="17" t="s">
        <v>75</v>
      </c>
      <c r="D666" s="17" t="s">
        <v>98</v>
      </c>
      <c r="E666" s="17" t="n">
        <v>5</v>
      </c>
      <c r="F666" s="18" t="n">
        <v>120</v>
      </c>
      <c r="G666" s="19" t="n">
        <v>0</v>
      </c>
      <c r="H666" s="18" t="n">
        <v>600</v>
      </c>
      <c r="I666" s="20"/>
    </row>
    <row r="667" customFormat="false" ht="15" hidden="false" customHeight="false" outlineLevel="0" collapsed="false">
      <c r="A667" s="16" t="n">
        <v>45856</v>
      </c>
      <c r="B667" s="17" t="s">
        <v>760</v>
      </c>
      <c r="C667" s="17" t="s">
        <v>70</v>
      </c>
      <c r="D667" s="17" t="s">
        <v>92</v>
      </c>
      <c r="E667" s="17" t="n">
        <v>2</v>
      </c>
      <c r="F667" s="18" t="n">
        <v>850</v>
      </c>
      <c r="G667" s="19" t="n">
        <v>0</v>
      </c>
      <c r="H667" s="18" t="n">
        <v>1700</v>
      </c>
      <c r="I667" s="20"/>
    </row>
    <row r="668" customFormat="false" ht="15" hidden="false" customHeight="false" outlineLevel="0" collapsed="false">
      <c r="A668" s="16" t="n">
        <v>45856</v>
      </c>
      <c r="B668" s="17" t="s">
        <v>761</v>
      </c>
      <c r="C668" s="17" t="s">
        <v>75</v>
      </c>
      <c r="D668" s="17" t="s">
        <v>92</v>
      </c>
      <c r="E668" s="17" t="n">
        <v>4</v>
      </c>
      <c r="F668" s="18" t="n">
        <v>120</v>
      </c>
      <c r="G668" s="19" t="n">
        <v>0</v>
      </c>
      <c r="H668" s="18" t="n">
        <v>480</v>
      </c>
      <c r="I668" s="20"/>
    </row>
    <row r="669" customFormat="false" ht="15" hidden="false" customHeight="false" outlineLevel="0" collapsed="false">
      <c r="A669" s="16" t="n">
        <v>45856</v>
      </c>
      <c r="B669" s="17" t="s">
        <v>762</v>
      </c>
      <c r="C669" s="17" t="s">
        <v>75</v>
      </c>
      <c r="D669" s="17" t="s">
        <v>102</v>
      </c>
      <c r="E669" s="17" t="n">
        <v>10</v>
      </c>
      <c r="F669" s="18" t="n">
        <v>120</v>
      </c>
      <c r="G669" s="19" t="n">
        <v>0</v>
      </c>
      <c r="H669" s="18" t="n">
        <v>1200</v>
      </c>
      <c r="I669" s="20"/>
    </row>
    <row r="670" customFormat="false" ht="15" hidden="false" customHeight="false" outlineLevel="0" collapsed="false">
      <c r="A670" s="16" t="n">
        <v>45856</v>
      </c>
      <c r="B670" s="17" t="s">
        <v>763</v>
      </c>
      <c r="C670" s="17" t="s">
        <v>75</v>
      </c>
      <c r="D670" s="17" t="s">
        <v>102</v>
      </c>
      <c r="E670" s="17" t="n">
        <v>3</v>
      </c>
      <c r="F670" s="18" t="n">
        <v>120</v>
      </c>
      <c r="G670" s="19" t="n">
        <v>0.1</v>
      </c>
      <c r="H670" s="18" t="n">
        <v>324</v>
      </c>
      <c r="I670" s="20"/>
    </row>
    <row r="671" customFormat="false" ht="15" hidden="false" customHeight="false" outlineLevel="0" collapsed="false">
      <c r="A671" s="16" t="n">
        <v>45856</v>
      </c>
      <c r="B671" s="17" t="s">
        <v>764</v>
      </c>
      <c r="C671" s="17" t="s">
        <v>75</v>
      </c>
      <c r="D671" s="17" t="s">
        <v>98</v>
      </c>
      <c r="E671" s="17" t="n">
        <v>19</v>
      </c>
      <c r="F671" s="18" t="n">
        <v>120</v>
      </c>
      <c r="G671" s="19" t="n">
        <v>0.1</v>
      </c>
      <c r="H671" s="18" t="n">
        <v>2052</v>
      </c>
      <c r="I671" s="20"/>
    </row>
    <row r="672" customFormat="false" ht="15" hidden="false" customHeight="false" outlineLevel="0" collapsed="false">
      <c r="A672" s="16" t="n">
        <v>45857</v>
      </c>
      <c r="B672" s="17" t="s">
        <v>765</v>
      </c>
      <c r="C672" s="17" t="s">
        <v>81</v>
      </c>
      <c r="D672" s="17" t="s">
        <v>98</v>
      </c>
      <c r="E672" s="17" t="n">
        <v>9</v>
      </c>
      <c r="F672" s="18" t="n">
        <v>60</v>
      </c>
      <c r="G672" s="19" t="n">
        <v>0</v>
      </c>
      <c r="H672" s="18" t="n">
        <v>540</v>
      </c>
      <c r="I672" s="20"/>
    </row>
    <row r="673" customFormat="false" ht="15" hidden="false" customHeight="false" outlineLevel="0" collapsed="false">
      <c r="A673" s="16" t="n">
        <v>45857</v>
      </c>
      <c r="B673" s="17" t="s">
        <v>766</v>
      </c>
      <c r="C673" s="17" t="s">
        <v>73</v>
      </c>
      <c r="D673" s="17" t="s">
        <v>92</v>
      </c>
      <c r="E673" s="17" t="n">
        <v>4</v>
      </c>
      <c r="F673" s="18" t="n">
        <v>1450</v>
      </c>
      <c r="G673" s="19" t="n">
        <v>0.05</v>
      </c>
      <c r="H673" s="18" t="n">
        <v>5510</v>
      </c>
      <c r="I673" s="20"/>
    </row>
    <row r="674" customFormat="false" ht="15" hidden="false" customHeight="false" outlineLevel="0" collapsed="false">
      <c r="A674" s="16" t="n">
        <v>45858</v>
      </c>
      <c r="B674" s="17" t="s">
        <v>767</v>
      </c>
      <c r="C674" s="17" t="s">
        <v>78</v>
      </c>
      <c r="D674" s="17" t="s">
        <v>102</v>
      </c>
      <c r="E674" s="17" t="n">
        <v>6</v>
      </c>
      <c r="F674" s="18" t="n">
        <v>95</v>
      </c>
      <c r="G674" s="19" t="n">
        <v>0</v>
      </c>
      <c r="H674" s="18" t="n">
        <v>570</v>
      </c>
      <c r="I674" s="20"/>
    </row>
    <row r="675" customFormat="false" ht="15" hidden="false" customHeight="false" outlineLevel="0" collapsed="false">
      <c r="A675" s="16" t="n">
        <v>45858</v>
      </c>
      <c r="B675" s="17" t="s">
        <v>768</v>
      </c>
      <c r="C675" s="17" t="s">
        <v>81</v>
      </c>
      <c r="D675" s="17" t="s">
        <v>92</v>
      </c>
      <c r="E675" s="17" t="n">
        <v>11</v>
      </c>
      <c r="F675" s="18" t="n">
        <v>60</v>
      </c>
      <c r="G675" s="19" t="n">
        <v>0.05</v>
      </c>
      <c r="H675" s="18" t="n">
        <v>627</v>
      </c>
      <c r="I675" s="20"/>
    </row>
    <row r="676" customFormat="false" ht="15" hidden="false" customHeight="false" outlineLevel="0" collapsed="false">
      <c r="A676" s="16" t="n">
        <v>45858</v>
      </c>
      <c r="B676" s="17" t="s">
        <v>769</v>
      </c>
      <c r="C676" s="17" t="s">
        <v>75</v>
      </c>
      <c r="D676" s="17" t="s">
        <v>92</v>
      </c>
      <c r="E676" s="17" t="n">
        <v>12</v>
      </c>
      <c r="F676" s="18" t="n">
        <v>120</v>
      </c>
      <c r="G676" s="19" t="n">
        <v>0</v>
      </c>
      <c r="H676" s="18" t="n">
        <v>1440</v>
      </c>
      <c r="I676" s="20"/>
    </row>
    <row r="677" customFormat="false" ht="15" hidden="false" customHeight="false" outlineLevel="0" collapsed="false">
      <c r="A677" s="16" t="n">
        <v>45858</v>
      </c>
      <c r="B677" s="17" t="s">
        <v>770</v>
      </c>
      <c r="C677" s="17" t="s">
        <v>70</v>
      </c>
      <c r="D677" s="17" t="s">
        <v>92</v>
      </c>
      <c r="E677" s="17" t="n">
        <v>4</v>
      </c>
      <c r="F677" s="18" t="n">
        <v>850</v>
      </c>
      <c r="G677" s="19" t="n">
        <v>0.1</v>
      </c>
      <c r="H677" s="18" t="n">
        <v>3060</v>
      </c>
      <c r="I677" s="20"/>
    </row>
    <row r="678" customFormat="false" ht="15" hidden="false" customHeight="false" outlineLevel="0" collapsed="false">
      <c r="A678" s="16" t="n">
        <v>45859</v>
      </c>
      <c r="B678" s="17" t="s">
        <v>771</v>
      </c>
      <c r="C678" s="17" t="s">
        <v>75</v>
      </c>
      <c r="D678" s="17" t="s">
        <v>98</v>
      </c>
      <c r="E678" s="17" t="n">
        <v>1</v>
      </c>
      <c r="F678" s="18" t="n">
        <v>120</v>
      </c>
      <c r="G678" s="19" t="n">
        <v>0</v>
      </c>
      <c r="H678" s="18" t="n">
        <v>120</v>
      </c>
      <c r="I678" s="20"/>
    </row>
    <row r="679" customFormat="false" ht="15" hidden="false" customHeight="false" outlineLevel="0" collapsed="false">
      <c r="A679" s="16" t="n">
        <v>45859</v>
      </c>
      <c r="B679" s="17" t="s">
        <v>772</v>
      </c>
      <c r="C679" s="17" t="s">
        <v>73</v>
      </c>
      <c r="D679" s="17" t="s">
        <v>96</v>
      </c>
      <c r="E679" s="17" t="n">
        <v>16</v>
      </c>
      <c r="F679" s="18" t="n">
        <v>1450</v>
      </c>
      <c r="G679" s="19" t="n">
        <v>0</v>
      </c>
      <c r="H679" s="18" t="n">
        <v>23200</v>
      </c>
      <c r="I679" s="20"/>
    </row>
    <row r="680" customFormat="false" ht="15" hidden="false" customHeight="false" outlineLevel="0" collapsed="false">
      <c r="A680" s="16" t="n">
        <v>45859</v>
      </c>
      <c r="B680" s="17" t="s">
        <v>773</v>
      </c>
      <c r="C680" s="17" t="s">
        <v>70</v>
      </c>
      <c r="D680" s="17" t="s">
        <v>96</v>
      </c>
      <c r="E680" s="17" t="n">
        <v>3</v>
      </c>
      <c r="F680" s="18" t="n">
        <v>850</v>
      </c>
      <c r="G680" s="19" t="n">
        <v>0</v>
      </c>
      <c r="H680" s="18" t="n">
        <v>2550</v>
      </c>
      <c r="I680" s="20"/>
    </row>
    <row r="681" customFormat="false" ht="15" hidden="false" customHeight="false" outlineLevel="0" collapsed="false">
      <c r="A681" s="16" t="n">
        <v>45860</v>
      </c>
      <c r="B681" s="17" t="s">
        <v>774</v>
      </c>
      <c r="C681" s="17" t="s">
        <v>73</v>
      </c>
      <c r="D681" s="17" t="s">
        <v>102</v>
      </c>
      <c r="E681" s="17" t="n">
        <v>13</v>
      </c>
      <c r="F681" s="18" t="n">
        <v>1450</v>
      </c>
      <c r="G681" s="19" t="n">
        <v>0</v>
      </c>
      <c r="H681" s="18" t="n">
        <v>18850</v>
      </c>
      <c r="I681" s="20"/>
    </row>
    <row r="682" customFormat="false" ht="15" hidden="false" customHeight="false" outlineLevel="0" collapsed="false">
      <c r="A682" s="16" t="n">
        <v>45860</v>
      </c>
      <c r="B682" s="17" t="s">
        <v>775</v>
      </c>
      <c r="C682" s="17" t="s">
        <v>70</v>
      </c>
      <c r="D682" s="17" t="s">
        <v>92</v>
      </c>
      <c r="E682" s="17" t="n">
        <v>2</v>
      </c>
      <c r="F682" s="18" t="n">
        <v>850</v>
      </c>
      <c r="G682" s="19" t="n">
        <v>0</v>
      </c>
      <c r="H682" s="18" t="n">
        <v>1700</v>
      </c>
      <c r="I682" s="20"/>
    </row>
    <row r="683" customFormat="false" ht="15" hidden="false" customHeight="false" outlineLevel="0" collapsed="false">
      <c r="A683" s="16" t="n">
        <v>45861</v>
      </c>
      <c r="B683" s="17" t="s">
        <v>776</v>
      </c>
      <c r="C683" s="17" t="s">
        <v>75</v>
      </c>
      <c r="D683" s="17" t="s">
        <v>92</v>
      </c>
      <c r="E683" s="17" t="n">
        <v>9</v>
      </c>
      <c r="F683" s="18" t="n">
        <v>120</v>
      </c>
      <c r="G683" s="19" t="n">
        <v>0</v>
      </c>
      <c r="H683" s="18" t="n">
        <v>1080</v>
      </c>
      <c r="I683" s="20"/>
    </row>
    <row r="684" customFormat="false" ht="15" hidden="false" customHeight="false" outlineLevel="0" collapsed="false">
      <c r="A684" s="16" t="n">
        <v>45861</v>
      </c>
      <c r="B684" s="17" t="s">
        <v>777</v>
      </c>
      <c r="C684" s="17" t="s">
        <v>81</v>
      </c>
      <c r="D684" s="17" t="s">
        <v>98</v>
      </c>
      <c r="E684" s="17" t="n">
        <v>4</v>
      </c>
      <c r="F684" s="18" t="n">
        <v>60</v>
      </c>
      <c r="G684" s="19" t="n">
        <v>0.05</v>
      </c>
      <c r="H684" s="18" t="n">
        <v>228</v>
      </c>
      <c r="I684" s="20"/>
    </row>
    <row r="685" customFormat="false" ht="15" hidden="false" customHeight="false" outlineLevel="0" collapsed="false">
      <c r="A685" s="16" t="n">
        <v>45861</v>
      </c>
      <c r="B685" s="17" t="s">
        <v>778</v>
      </c>
      <c r="C685" s="17" t="s">
        <v>75</v>
      </c>
      <c r="D685" s="17" t="s">
        <v>98</v>
      </c>
      <c r="E685" s="17" t="n">
        <v>5</v>
      </c>
      <c r="F685" s="18" t="n">
        <v>120</v>
      </c>
      <c r="G685" s="19" t="n">
        <v>0</v>
      </c>
      <c r="H685" s="18" t="n">
        <v>600</v>
      </c>
      <c r="I685" s="20"/>
    </row>
    <row r="686" customFormat="false" ht="15" hidden="false" customHeight="false" outlineLevel="0" collapsed="false">
      <c r="A686" s="16" t="n">
        <v>45861</v>
      </c>
      <c r="B686" s="17" t="s">
        <v>779</v>
      </c>
      <c r="C686" s="17" t="s">
        <v>75</v>
      </c>
      <c r="D686" s="17" t="s">
        <v>98</v>
      </c>
      <c r="E686" s="17" t="n">
        <v>12</v>
      </c>
      <c r="F686" s="18" t="n">
        <v>120</v>
      </c>
      <c r="G686" s="19" t="n">
        <v>0</v>
      </c>
      <c r="H686" s="18" t="n">
        <v>1440</v>
      </c>
      <c r="I686" s="20"/>
    </row>
    <row r="687" customFormat="false" ht="15" hidden="false" customHeight="false" outlineLevel="0" collapsed="false">
      <c r="A687" s="16" t="n">
        <v>45862</v>
      </c>
      <c r="B687" s="17" t="s">
        <v>780</v>
      </c>
      <c r="C687" s="17" t="s">
        <v>78</v>
      </c>
      <c r="D687" s="17" t="s">
        <v>92</v>
      </c>
      <c r="E687" s="17" t="n">
        <v>5</v>
      </c>
      <c r="F687" s="18" t="n">
        <v>95</v>
      </c>
      <c r="G687" s="19" t="n">
        <v>0</v>
      </c>
      <c r="H687" s="18" t="n">
        <v>475</v>
      </c>
      <c r="I687" s="20"/>
    </row>
    <row r="688" customFormat="false" ht="15" hidden="false" customHeight="false" outlineLevel="0" collapsed="false">
      <c r="A688" s="16" t="n">
        <v>45862</v>
      </c>
      <c r="B688" s="17" t="s">
        <v>781</v>
      </c>
      <c r="C688" s="17" t="s">
        <v>81</v>
      </c>
      <c r="D688" s="17" t="s">
        <v>96</v>
      </c>
      <c r="E688" s="17" t="n">
        <v>19</v>
      </c>
      <c r="F688" s="18" t="n">
        <v>60</v>
      </c>
      <c r="G688" s="19" t="n">
        <v>0.1</v>
      </c>
      <c r="H688" s="18" t="n">
        <v>1026</v>
      </c>
      <c r="I688" s="20"/>
    </row>
    <row r="689" customFormat="false" ht="15" hidden="false" customHeight="false" outlineLevel="0" collapsed="false">
      <c r="A689" s="16" t="n">
        <v>45862</v>
      </c>
      <c r="B689" s="17" t="s">
        <v>782</v>
      </c>
      <c r="C689" s="17" t="s">
        <v>81</v>
      </c>
      <c r="D689" s="17" t="s">
        <v>102</v>
      </c>
      <c r="E689" s="17" t="n">
        <v>10</v>
      </c>
      <c r="F689" s="18" t="n">
        <v>60</v>
      </c>
      <c r="G689" s="19" t="n">
        <v>0</v>
      </c>
      <c r="H689" s="18" t="n">
        <v>600</v>
      </c>
      <c r="I689" s="20"/>
    </row>
    <row r="690" customFormat="false" ht="15" hidden="false" customHeight="false" outlineLevel="0" collapsed="false">
      <c r="A690" s="16" t="n">
        <v>45862</v>
      </c>
      <c r="B690" s="17" t="s">
        <v>783</v>
      </c>
      <c r="C690" s="17" t="s">
        <v>70</v>
      </c>
      <c r="D690" s="17" t="s">
        <v>92</v>
      </c>
      <c r="E690" s="17" t="n">
        <v>3</v>
      </c>
      <c r="F690" s="18" t="n">
        <v>850</v>
      </c>
      <c r="G690" s="19" t="n">
        <v>0.1</v>
      </c>
      <c r="H690" s="18" t="n">
        <v>2295</v>
      </c>
      <c r="I690" s="20"/>
    </row>
    <row r="691" customFormat="false" ht="15" hidden="false" customHeight="false" outlineLevel="0" collapsed="false">
      <c r="A691" s="16" t="n">
        <v>45863</v>
      </c>
      <c r="B691" s="17" t="s">
        <v>784</v>
      </c>
      <c r="C691" s="17" t="s">
        <v>75</v>
      </c>
      <c r="D691" s="17" t="s">
        <v>96</v>
      </c>
      <c r="E691" s="17" t="n">
        <v>3</v>
      </c>
      <c r="F691" s="18" t="n">
        <v>120</v>
      </c>
      <c r="G691" s="19" t="n">
        <v>0.1</v>
      </c>
      <c r="H691" s="18" t="n">
        <v>324</v>
      </c>
      <c r="I691" s="20"/>
    </row>
    <row r="692" customFormat="false" ht="15" hidden="false" customHeight="false" outlineLevel="0" collapsed="false">
      <c r="A692" s="16" t="n">
        <v>45863</v>
      </c>
      <c r="B692" s="17" t="s">
        <v>785</v>
      </c>
      <c r="C692" s="17" t="s">
        <v>78</v>
      </c>
      <c r="D692" s="17" t="s">
        <v>92</v>
      </c>
      <c r="E692" s="17" t="n">
        <v>6</v>
      </c>
      <c r="F692" s="18" t="n">
        <v>95</v>
      </c>
      <c r="G692" s="19" t="n">
        <v>0</v>
      </c>
      <c r="H692" s="18" t="n">
        <v>570</v>
      </c>
      <c r="I692" s="20"/>
    </row>
    <row r="693" customFormat="false" ht="15" hidden="false" customHeight="false" outlineLevel="0" collapsed="false">
      <c r="A693" s="16" t="n">
        <v>45864</v>
      </c>
      <c r="B693" s="17" t="s">
        <v>786</v>
      </c>
      <c r="C693" s="17" t="s">
        <v>78</v>
      </c>
      <c r="D693" s="17" t="s">
        <v>102</v>
      </c>
      <c r="E693" s="17" t="n">
        <v>19</v>
      </c>
      <c r="F693" s="18" t="n">
        <v>95</v>
      </c>
      <c r="G693" s="19" t="n">
        <v>0.05</v>
      </c>
      <c r="H693" s="18" t="n">
        <v>1714.75</v>
      </c>
      <c r="I693" s="20"/>
    </row>
    <row r="694" customFormat="false" ht="15" hidden="false" customHeight="false" outlineLevel="0" collapsed="false">
      <c r="A694" s="16" t="n">
        <v>45864</v>
      </c>
      <c r="B694" s="17" t="s">
        <v>787</v>
      </c>
      <c r="C694" s="17" t="s">
        <v>70</v>
      </c>
      <c r="D694" s="17" t="s">
        <v>98</v>
      </c>
      <c r="E694" s="17" t="n">
        <v>13</v>
      </c>
      <c r="F694" s="18" t="n">
        <v>850</v>
      </c>
      <c r="G694" s="19" t="n">
        <v>0.1</v>
      </c>
      <c r="H694" s="18" t="n">
        <v>9945</v>
      </c>
      <c r="I694" s="20"/>
    </row>
    <row r="695" customFormat="false" ht="15" hidden="false" customHeight="false" outlineLevel="0" collapsed="false">
      <c r="A695" s="16" t="n">
        <v>45864</v>
      </c>
      <c r="B695" s="17" t="s">
        <v>788</v>
      </c>
      <c r="C695" s="17" t="s">
        <v>73</v>
      </c>
      <c r="D695" s="17" t="s">
        <v>98</v>
      </c>
      <c r="E695" s="17" t="n">
        <v>7</v>
      </c>
      <c r="F695" s="18" t="n">
        <v>1450</v>
      </c>
      <c r="G695" s="19" t="n">
        <v>0.1</v>
      </c>
      <c r="H695" s="18" t="n">
        <v>9135</v>
      </c>
      <c r="I695" s="20"/>
    </row>
    <row r="696" customFormat="false" ht="15" hidden="false" customHeight="false" outlineLevel="0" collapsed="false">
      <c r="A696" s="16" t="n">
        <v>45864</v>
      </c>
      <c r="B696" s="17" t="s">
        <v>789</v>
      </c>
      <c r="C696" s="17" t="s">
        <v>81</v>
      </c>
      <c r="D696" s="17" t="s">
        <v>96</v>
      </c>
      <c r="E696" s="17" t="n">
        <v>8</v>
      </c>
      <c r="F696" s="18" t="n">
        <v>60</v>
      </c>
      <c r="G696" s="19" t="n">
        <v>0</v>
      </c>
      <c r="H696" s="18" t="n">
        <v>480</v>
      </c>
      <c r="I696" s="20"/>
    </row>
    <row r="697" customFormat="false" ht="15" hidden="false" customHeight="false" outlineLevel="0" collapsed="false">
      <c r="A697" s="16" t="n">
        <v>45865</v>
      </c>
      <c r="B697" s="17" t="s">
        <v>790</v>
      </c>
      <c r="C697" s="17" t="s">
        <v>70</v>
      </c>
      <c r="D697" s="17" t="s">
        <v>98</v>
      </c>
      <c r="E697" s="17" t="n">
        <v>2</v>
      </c>
      <c r="F697" s="18" t="n">
        <v>850</v>
      </c>
      <c r="G697" s="19" t="n">
        <v>0</v>
      </c>
      <c r="H697" s="18" t="n">
        <v>1700</v>
      </c>
      <c r="I697" s="20"/>
    </row>
    <row r="698" customFormat="false" ht="15" hidden="false" customHeight="false" outlineLevel="0" collapsed="false">
      <c r="A698" s="16" t="n">
        <v>45865</v>
      </c>
      <c r="B698" s="17" t="s">
        <v>791</v>
      </c>
      <c r="C698" s="17" t="s">
        <v>70</v>
      </c>
      <c r="D698" s="17" t="s">
        <v>98</v>
      </c>
      <c r="E698" s="17" t="n">
        <v>20</v>
      </c>
      <c r="F698" s="18" t="n">
        <v>850</v>
      </c>
      <c r="G698" s="19" t="n">
        <v>0.1</v>
      </c>
      <c r="H698" s="18" t="n">
        <v>15300</v>
      </c>
      <c r="I698" s="20"/>
    </row>
    <row r="699" customFormat="false" ht="15" hidden="false" customHeight="false" outlineLevel="0" collapsed="false">
      <c r="A699" s="16" t="n">
        <v>45865</v>
      </c>
      <c r="B699" s="17" t="s">
        <v>792</v>
      </c>
      <c r="C699" s="17" t="s">
        <v>81</v>
      </c>
      <c r="D699" s="17" t="s">
        <v>98</v>
      </c>
      <c r="E699" s="17" t="n">
        <v>13</v>
      </c>
      <c r="F699" s="18" t="n">
        <v>60</v>
      </c>
      <c r="G699" s="19" t="n">
        <v>0</v>
      </c>
      <c r="H699" s="18" t="n">
        <v>780</v>
      </c>
      <c r="I699" s="20"/>
    </row>
    <row r="700" customFormat="false" ht="15" hidden="false" customHeight="false" outlineLevel="0" collapsed="false">
      <c r="A700" s="16" t="n">
        <v>45865</v>
      </c>
      <c r="B700" s="17" t="s">
        <v>793</v>
      </c>
      <c r="C700" s="17" t="s">
        <v>78</v>
      </c>
      <c r="D700" s="17" t="s">
        <v>98</v>
      </c>
      <c r="E700" s="17" t="n">
        <v>1</v>
      </c>
      <c r="F700" s="18" t="n">
        <v>95</v>
      </c>
      <c r="G700" s="19" t="n">
        <v>0</v>
      </c>
      <c r="H700" s="18" t="n">
        <v>95</v>
      </c>
      <c r="I700" s="20"/>
    </row>
    <row r="701" customFormat="false" ht="15" hidden="false" customHeight="false" outlineLevel="0" collapsed="false">
      <c r="A701" s="16" t="n">
        <v>45866</v>
      </c>
      <c r="B701" s="17" t="s">
        <v>794</v>
      </c>
      <c r="C701" s="17" t="s">
        <v>75</v>
      </c>
      <c r="D701" s="17" t="s">
        <v>98</v>
      </c>
      <c r="E701" s="17" t="n">
        <v>10</v>
      </c>
      <c r="F701" s="18" t="n">
        <v>120</v>
      </c>
      <c r="G701" s="19" t="n">
        <v>0</v>
      </c>
      <c r="H701" s="18" t="n">
        <v>1200</v>
      </c>
      <c r="I701" s="20"/>
    </row>
    <row r="702" customFormat="false" ht="15" hidden="false" customHeight="false" outlineLevel="0" collapsed="false">
      <c r="A702" s="16" t="n">
        <v>45870</v>
      </c>
      <c r="B702" s="17" t="s">
        <v>795</v>
      </c>
      <c r="C702" s="17" t="s">
        <v>78</v>
      </c>
      <c r="D702" s="17" t="s">
        <v>96</v>
      </c>
      <c r="E702" s="17" t="n">
        <v>9</v>
      </c>
      <c r="F702" s="18" t="n">
        <v>95</v>
      </c>
      <c r="G702" s="19" t="n">
        <v>0</v>
      </c>
      <c r="H702" s="18" t="n">
        <v>855</v>
      </c>
      <c r="I702" s="20"/>
    </row>
    <row r="703" customFormat="false" ht="15" hidden="false" customHeight="false" outlineLevel="0" collapsed="false">
      <c r="A703" s="16" t="n">
        <v>45870</v>
      </c>
      <c r="B703" s="17" t="s">
        <v>796</v>
      </c>
      <c r="C703" s="17" t="s">
        <v>81</v>
      </c>
      <c r="D703" s="17" t="s">
        <v>92</v>
      </c>
      <c r="E703" s="17" t="n">
        <v>1</v>
      </c>
      <c r="F703" s="18" t="n">
        <v>60</v>
      </c>
      <c r="G703" s="19" t="n">
        <v>0</v>
      </c>
      <c r="H703" s="18" t="n">
        <v>60</v>
      </c>
      <c r="I703" s="20"/>
    </row>
    <row r="704" customFormat="false" ht="15" hidden="false" customHeight="false" outlineLevel="0" collapsed="false">
      <c r="A704" s="16" t="n">
        <v>45871</v>
      </c>
      <c r="B704" s="17" t="s">
        <v>797</v>
      </c>
      <c r="C704" s="17" t="s">
        <v>78</v>
      </c>
      <c r="D704" s="17" t="s">
        <v>98</v>
      </c>
      <c r="E704" s="17" t="n">
        <v>15</v>
      </c>
      <c r="F704" s="18" t="n">
        <v>95</v>
      </c>
      <c r="G704" s="19" t="n">
        <v>0.05</v>
      </c>
      <c r="H704" s="18" t="n">
        <v>1353.75</v>
      </c>
      <c r="I704" s="20"/>
    </row>
    <row r="705" customFormat="false" ht="15" hidden="false" customHeight="false" outlineLevel="0" collapsed="false">
      <c r="A705" s="16" t="n">
        <v>45871</v>
      </c>
      <c r="B705" s="17" t="s">
        <v>798</v>
      </c>
      <c r="C705" s="17" t="s">
        <v>73</v>
      </c>
      <c r="D705" s="17" t="s">
        <v>96</v>
      </c>
      <c r="E705" s="17" t="n">
        <v>9</v>
      </c>
      <c r="F705" s="18" t="n">
        <v>1450</v>
      </c>
      <c r="G705" s="19" t="n">
        <v>0</v>
      </c>
      <c r="H705" s="18" t="n">
        <v>13050</v>
      </c>
      <c r="I705" s="20"/>
    </row>
    <row r="706" customFormat="false" ht="15" hidden="false" customHeight="false" outlineLevel="0" collapsed="false">
      <c r="A706" s="16" t="n">
        <v>45871</v>
      </c>
      <c r="B706" s="17" t="s">
        <v>799</v>
      </c>
      <c r="C706" s="17" t="s">
        <v>75</v>
      </c>
      <c r="D706" s="17" t="s">
        <v>92</v>
      </c>
      <c r="E706" s="17" t="n">
        <v>4</v>
      </c>
      <c r="F706" s="18" t="n">
        <v>120</v>
      </c>
      <c r="G706" s="19" t="n">
        <v>0.05</v>
      </c>
      <c r="H706" s="18" t="n">
        <v>456</v>
      </c>
      <c r="I706" s="20"/>
    </row>
    <row r="707" customFormat="false" ht="15" hidden="false" customHeight="false" outlineLevel="0" collapsed="false">
      <c r="A707" s="16" t="n">
        <v>45871</v>
      </c>
      <c r="B707" s="17" t="s">
        <v>800</v>
      </c>
      <c r="C707" s="17" t="s">
        <v>78</v>
      </c>
      <c r="D707" s="17" t="s">
        <v>102</v>
      </c>
      <c r="E707" s="17" t="n">
        <v>11</v>
      </c>
      <c r="F707" s="18" t="n">
        <v>95</v>
      </c>
      <c r="G707" s="19" t="n">
        <v>0</v>
      </c>
      <c r="H707" s="18" t="n">
        <v>1045</v>
      </c>
      <c r="I707" s="20"/>
    </row>
    <row r="708" customFormat="false" ht="15" hidden="false" customHeight="false" outlineLevel="0" collapsed="false">
      <c r="A708" s="16" t="n">
        <v>45872</v>
      </c>
      <c r="B708" s="17" t="s">
        <v>801</v>
      </c>
      <c r="C708" s="17" t="s">
        <v>70</v>
      </c>
      <c r="D708" s="17" t="s">
        <v>102</v>
      </c>
      <c r="E708" s="17" t="n">
        <v>9</v>
      </c>
      <c r="F708" s="18" t="n">
        <v>850</v>
      </c>
      <c r="G708" s="19" t="n">
        <v>0</v>
      </c>
      <c r="H708" s="18" t="n">
        <v>7650</v>
      </c>
      <c r="I708" s="20"/>
    </row>
    <row r="709" customFormat="false" ht="15" hidden="false" customHeight="false" outlineLevel="0" collapsed="false">
      <c r="A709" s="16" t="n">
        <v>45872</v>
      </c>
      <c r="B709" s="17" t="s">
        <v>802</v>
      </c>
      <c r="C709" s="17" t="s">
        <v>75</v>
      </c>
      <c r="D709" s="17" t="s">
        <v>92</v>
      </c>
      <c r="E709" s="17" t="n">
        <v>9</v>
      </c>
      <c r="F709" s="18" t="n">
        <v>120</v>
      </c>
      <c r="G709" s="19" t="n">
        <v>0.05</v>
      </c>
      <c r="H709" s="18" t="n">
        <v>1026</v>
      </c>
      <c r="I709" s="20"/>
    </row>
    <row r="710" customFormat="false" ht="15" hidden="false" customHeight="false" outlineLevel="0" collapsed="false">
      <c r="A710" s="16" t="n">
        <v>45872</v>
      </c>
      <c r="B710" s="17" t="s">
        <v>803</v>
      </c>
      <c r="C710" s="17" t="s">
        <v>70</v>
      </c>
      <c r="D710" s="17" t="s">
        <v>102</v>
      </c>
      <c r="E710" s="17" t="n">
        <v>1</v>
      </c>
      <c r="F710" s="18" t="n">
        <v>850</v>
      </c>
      <c r="G710" s="19" t="n">
        <v>0</v>
      </c>
      <c r="H710" s="18" t="n">
        <v>850</v>
      </c>
      <c r="I710" s="20"/>
    </row>
    <row r="711" customFormat="false" ht="15" hidden="false" customHeight="false" outlineLevel="0" collapsed="false">
      <c r="A711" s="16" t="n">
        <v>45872</v>
      </c>
      <c r="B711" s="17" t="s">
        <v>804</v>
      </c>
      <c r="C711" s="17" t="s">
        <v>81</v>
      </c>
      <c r="D711" s="17" t="s">
        <v>96</v>
      </c>
      <c r="E711" s="17" t="n">
        <v>13</v>
      </c>
      <c r="F711" s="18" t="n">
        <v>60</v>
      </c>
      <c r="G711" s="19" t="n">
        <v>0</v>
      </c>
      <c r="H711" s="18" t="n">
        <v>780</v>
      </c>
      <c r="I711" s="20"/>
    </row>
    <row r="712" customFormat="false" ht="15" hidden="false" customHeight="false" outlineLevel="0" collapsed="false">
      <c r="A712" s="16" t="n">
        <v>45872</v>
      </c>
      <c r="B712" s="17" t="s">
        <v>805</v>
      </c>
      <c r="C712" s="17" t="s">
        <v>70</v>
      </c>
      <c r="D712" s="17" t="s">
        <v>92</v>
      </c>
      <c r="E712" s="17" t="n">
        <v>5</v>
      </c>
      <c r="F712" s="18" t="n">
        <v>850</v>
      </c>
      <c r="G712" s="19" t="n">
        <v>0</v>
      </c>
      <c r="H712" s="18" t="n">
        <v>4250</v>
      </c>
      <c r="I712" s="20"/>
    </row>
    <row r="713" customFormat="false" ht="15" hidden="false" customHeight="false" outlineLevel="0" collapsed="false">
      <c r="A713" s="16" t="n">
        <v>45873</v>
      </c>
      <c r="B713" s="17" t="s">
        <v>806</v>
      </c>
      <c r="C713" s="17" t="s">
        <v>75</v>
      </c>
      <c r="D713" s="17" t="s">
        <v>92</v>
      </c>
      <c r="E713" s="17" t="n">
        <v>7</v>
      </c>
      <c r="F713" s="18" t="n">
        <v>120</v>
      </c>
      <c r="G713" s="19" t="n">
        <v>0.1</v>
      </c>
      <c r="H713" s="18" t="n">
        <v>756</v>
      </c>
      <c r="I713" s="20"/>
    </row>
    <row r="714" customFormat="false" ht="15" hidden="false" customHeight="false" outlineLevel="0" collapsed="false">
      <c r="A714" s="16" t="n">
        <v>45873</v>
      </c>
      <c r="B714" s="17" t="s">
        <v>807</v>
      </c>
      <c r="C714" s="17" t="s">
        <v>78</v>
      </c>
      <c r="D714" s="17" t="s">
        <v>96</v>
      </c>
      <c r="E714" s="17" t="n">
        <v>18</v>
      </c>
      <c r="F714" s="18" t="n">
        <v>95</v>
      </c>
      <c r="G714" s="19" t="n">
        <v>0</v>
      </c>
      <c r="H714" s="18" t="n">
        <v>1710</v>
      </c>
      <c r="I714" s="20"/>
    </row>
    <row r="715" customFormat="false" ht="15" hidden="false" customHeight="false" outlineLevel="0" collapsed="false">
      <c r="A715" s="16" t="n">
        <v>45873</v>
      </c>
      <c r="B715" s="17" t="s">
        <v>808</v>
      </c>
      <c r="C715" s="17" t="s">
        <v>70</v>
      </c>
      <c r="D715" s="17" t="s">
        <v>92</v>
      </c>
      <c r="E715" s="17" t="n">
        <v>20</v>
      </c>
      <c r="F715" s="18" t="n">
        <v>850</v>
      </c>
      <c r="G715" s="19" t="n">
        <v>0</v>
      </c>
      <c r="H715" s="18" t="n">
        <v>17000</v>
      </c>
      <c r="I715" s="20"/>
    </row>
    <row r="716" customFormat="false" ht="15" hidden="false" customHeight="false" outlineLevel="0" collapsed="false">
      <c r="A716" s="16" t="n">
        <v>45874</v>
      </c>
      <c r="B716" s="17" t="s">
        <v>809</v>
      </c>
      <c r="C716" s="17" t="s">
        <v>81</v>
      </c>
      <c r="D716" s="17" t="s">
        <v>98</v>
      </c>
      <c r="E716" s="17" t="n">
        <v>13</v>
      </c>
      <c r="F716" s="18" t="n">
        <v>60</v>
      </c>
      <c r="G716" s="19" t="n">
        <v>0</v>
      </c>
      <c r="H716" s="18" t="n">
        <v>780</v>
      </c>
      <c r="I716" s="20"/>
    </row>
    <row r="717" customFormat="false" ht="15" hidden="false" customHeight="false" outlineLevel="0" collapsed="false">
      <c r="A717" s="16" t="n">
        <v>45874</v>
      </c>
      <c r="B717" s="17" t="s">
        <v>810</v>
      </c>
      <c r="C717" s="17" t="s">
        <v>73</v>
      </c>
      <c r="D717" s="17" t="s">
        <v>92</v>
      </c>
      <c r="E717" s="17" t="n">
        <v>18</v>
      </c>
      <c r="F717" s="18" t="n">
        <v>1450</v>
      </c>
      <c r="G717" s="19" t="n">
        <v>0.05</v>
      </c>
      <c r="H717" s="18" t="n">
        <v>24795</v>
      </c>
      <c r="I717" s="20"/>
    </row>
    <row r="718" customFormat="false" ht="15" hidden="false" customHeight="false" outlineLevel="0" collapsed="false">
      <c r="A718" s="16" t="n">
        <v>45876</v>
      </c>
      <c r="B718" s="17" t="s">
        <v>811</v>
      </c>
      <c r="C718" s="17" t="s">
        <v>81</v>
      </c>
      <c r="D718" s="17" t="s">
        <v>98</v>
      </c>
      <c r="E718" s="17" t="n">
        <v>1</v>
      </c>
      <c r="F718" s="18" t="n">
        <v>60</v>
      </c>
      <c r="G718" s="19" t="n">
        <v>0</v>
      </c>
      <c r="H718" s="18" t="n">
        <v>60</v>
      </c>
      <c r="I718" s="20"/>
    </row>
    <row r="719" customFormat="false" ht="15" hidden="false" customHeight="false" outlineLevel="0" collapsed="false">
      <c r="A719" s="16" t="n">
        <v>45876</v>
      </c>
      <c r="B719" s="17" t="s">
        <v>812</v>
      </c>
      <c r="C719" s="17" t="s">
        <v>73</v>
      </c>
      <c r="D719" s="17" t="s">
        <v>96</v>
      </c>
      <c r="E719" s="17" t="n">
        <v>9</v>
      </c>
      <c r="F719" s="18" t="n">
        <v>1450</v>
      </c>
      <c r="G719" s="19" t="n">
        <v>0.1</v>
      </c>
      <c r="H719" s="18" t="n">
        <v>11745</v>
      </c>
      <c r="I719" s="20"/>
    </row>
    <row r="720" customFormat="false" ht="15" hidden="false" customHeight="false" outlineLevel="0" collapsed="false">
      <c r="A720" s="16" t="n">
        <v>45877</v>
      </c>
      <c r="B720" s="17" t="s">
        <v>813</v>
      </c>
      <c r="C720" s="17" t="s">
        <v>78</v>
      </c>
      <c r="D720" s="17" t="s">
        <v>102</v>
      </c>
      <c r="E720" s="17" t="n">
        <v>8</v>
      </c>
      <c r="F720" s="18" t="n">
        <v>95</v>
      </c>
      <c r="G720" s="19" t="n">
        <v>0</v>
      </c>
      <c r="H720" s="18" t="n">
        <v>760</v>
      </c>
      <c r="I720" s="20"/>
    </row>
    <row r="721" customFormat="false" ht="15" hidden="false" customHeight="false" outlineLevel="0" collapsed="false">
      <c r="A721" s="16" t="n">
        <v>45877</v>
      </c>
      <c r="B721" s="17" t="s">
        <v>814</v>
      </c>
      <c r="C721" s="17" t="s">
        <v>75</v>
      </c>
      <c r="D721" s="17" t="s">
        <v>102</v>
      </c>
      <c r="E721" s="17" t="n">
        <v>7</v>
      </c>
      <c r="F721" s="18" t="n">
        <v>120</v>
      </c>
      <c r="G721" s="19" t="n">
        <v>0.1</v>
      </c>
      <c r="H721" s="18" t="n">
        <v>756</v>
      </c>
      <c r="I721" s="20"/>
    </row>
    <row r="722" customFormat="false" ht="15" hidden="false" customHeight="false" outlineLevel="0" collapsed="false">
      <c r="A722" s="16" t="n">
        <v>45877</v>
      </c>
      <c r="B722" s="17" t="s">
        <v>815</v>
      </c>
      <c r="C722" s="17" t="s">
        <v>70</v>
      </c>
      <c r="D722" s="17" t="s">
        <v>102</v>
      </c>
      <c r="E722" s="17" t="n">
        <v>5</v>
      </c>
      <c r="F722" s="18" t="n">
        <v>850</v>
      </c>
      <c r="G722" s="19" t="n">
        <v>0</v>
      </c>
      <c r="H722" s="18" t="n">
        <v>4250</v>
      </c>
      <c r="I722" s="20"/>
    </row>
    <row r="723" customFormat="false" ht="15" hidden="false" customHeight="false" outlineLevel="0" collapsed="false">
      <c r="A723" s="16" t="n">
        <v>45878</v>
      </c>
      <c r="B723" s="17" t="s">
        <v>816</v>
      </c>
      <c r="C723" s="17" t="s">
        <v>75</v>
      </c>
      <c r="D723" s="17" t="s">
        <v>98</v>
      </c>
      <c r="E723" s="17" t="n">
        <v>18</v>
      </c>
      <c r="F723" s="18" t="n">
        <v>120</v>
      </c>
      <c r="G723" s="19" t="n">
        <v>0.1</v>
      </c>
      <c r="H723" s="18" t="n">
        <v>1944</v>
      </c>
      <c r="I723" s="20"/>
    </row>
    <row r="724" customFormat="false" ht="15" hidden="false" customHeight="false" outlineLevel="0" collapsed="false">
      <c r="A724" s="16" t="n">
        <v>45878</v>
      </c>
      <c r="B724" s="17" t="s">
        <v>817</v>
      </c>
      <c r="C724" s="17" t="s">
        <v>78</v>
      </c>
      <c r="D724" s="17" t="s">
        <v>92</v>
      </c>
      <c r="E724" s="17" t="n">
        <v>18</v>
      </c>
      <c r="F724" s="18" t="n">
        <v>95</v>
      </c>
      <c r="G724" s="19" t="n">
        <v>0.05</v>
      </c>
      <c r="H724" s="18" t="n">
        <v>1624.5</v>
      </c>
      <c r="I724" s="20"/>
    </row>
    <row r="725" customFormat="false" ht="15" hidden="false" customHeight="false" outlineLevel="0" collapsed="false">
      <c r="A725" s="16" t="n">
        <v>45879</v>
      </c>
      <c r="B725" s="17" t="s">
        <v>818</v>
      </c>
      <c r="C725" s="17" t="s">
        <v>75</v>
      </c>
      <c r="D725" s="17" t="s">
        <v>98</v>
      </c>
      <c r="E725" s="17" t="n">
        <v>9</v>
      </c>
      <c r="F725" s="18" t="n">
        <v>120</v>
      </c>
      <c r="G725" s="19" t="n">
        <v>0.1</v>
      </c>
      <c r="H725" s="18" t="n">
        <v>972</v>
      </c>
      <c r="I725" s="20"/>
    </row>
    <row r="726" customFormat="false" ht="15" hidden="false" customHeight="false" outlineLevel="0" collapsed="false">
      <c r="A726" s="16" t="n">
        <v>45879</v>
      </c>
      <c r="B726" s="17" t="s">
        <v>819</v>
      </c>
      <c r="C726" s="17" t="s">
        <v>78</v>
      </c>
      <c r="D726" s="17" t="s">
        <v>102</v>
      </c>
      <c r="E726" s="17" t="n">
        <v>5</v>
      </c>
      <c r="F726" s="18" t="n">
        <v>95</v>
      </c>
      <c r="G726" s="19" t="n">
        <v>0.05</v>
      </c>
      <c r="H726" s="18" t="n">
        <v>451.25</v>
      </c>
      <c r="I726" s="20"/>
    </row>
    <row r="727" customFormat="false" ht="15" hidden="false" customHeight="false" outlineLevel="0" collapsed="false">
      <c r="A727" s="16" t="n">
        <v>45879</v>
      </c>
      <c r="B727" s="17" t="s">
        <v>820</v>
      </c>
      <c r="C727" s="17" t="s">
        <v>70</v>
      </c>
      <c r="D727" s="17" t="s">
        <v>92</v>
      </c>
      <c r="E727" s="17" t="n">
        <v>6</v>
      </c>
      <c r="F727" s="18" t="n">
        <v>850</v>
      </c>
      <c r="G727" s="19" t="n">
        <v>0</v>
      </c>
      <c r="H727" s="18" t="n">
        <v>5100</v>
      </c>
      <c r="I727" s="20"/>
    </row>
    <row r="728" customFormat="false" ht="15" hidden="false" customHeight="false" outlineLevel="0" collapsed="false">
      <c r="A728" s="16" t="n">
        <v>45880</v>
      </c>
      <c r="B728" s="17" t="s">
        <v>821</v>
      </c>
      <c r="C728" s="17" t="s">
        <v>73</v>
      </c>
      <c r="D728" s="17" t="s">
        <v>102</v>
      </c>
      <c r="E728" s="17" t="n">
        <v>20</v>
      </c>
      <c r="F728" s="18" t="n">
        <v>1450</v>
      </c>
      <c r="G728" s="19" t="n">
        <v>0.05</v>
      </c>
      <c r="H728" s="18" t="n">
        <v>27550</v>
      </c>
      <c r="I728" s="20"/>
    </row>
    <row r="729" customFormat="false" ht="15" hidden="false" customHeight="false" outlineLevel="0" collapsed="false">
      <c r="A729" s="16" t="n">
        <v>45880</v>
      </c>
      <c r="B729" s="17" t="s">
        <v>822</v>
      </c>
      <c r="C729" s="17" t="s">
        <v>81</v>
      </c>
      <c r="D729" s="17" t="s">
        <v>92</v>
      </c>
      <c r="E729" s="17" t="n">
        <v>13</v>
      </c>
      <c r="F729" s="18" t="n">
        <v>60</v>
      </c>
      <c r="G729" s="19" t="n">
        <v>0</v>
      </c>
      <c r="H729" s="18" t="n">
        <v>780</v>
      </c>
      <c r="I729" s="20"/>
    </row>
    <row r="730" customFormat="false" ht="15" hidden="false" customHeight="false" outlineLevel="0" collapsed="false">
      <c r="A730" s="16" t="n">
        <v>45880</v>
      </c>
      <c r="B730" s="17" t="s">
        <v>823</v>
      </c>
      <c r="C730" s="17" t="s">
        <v>70</v>
      </c>
      <c r="D730" s="17" t="s">
        <v>92</v>
      </c>
      <c r="E730" s="17" t="n">
        <v>6</v>
      </c>
      <c r="F730" s="18" t="n">
        <v>850</v>
      </c>
      <c r="G730" s="19" t="n">
        <v>0</v>
      </c>
      <c r="H730" s="18" t="n">
        <v>5100</v>
      </c>
      <c r="I730" s="20"/>
    </row>
    <row r="731" customFormat="false" ht="15" hidden="false" customHeight="false" outlineLevel="0" collapsed="false">
      <c r="A731" s="16" t="n">
        <v>45880</v>
      </c>
      <c r="B731" s="17" t="s">
        <v>824</v>
      </c>
      <c r="C731" s="17" t="s">
        <v>73</v>
      </c>
      <c r="D731" s="17" t="s">
        <v>92</v>
      </c>
      <c r="E731" s="17" t="n">
        <v>14</v>
      </c>
      <c r="F731" s="18" t="n">
        <v>1450</v>
      </c>
      <c r="G731" s="19" t="n">
        <v>0</v>
      </c>
      <c r="H731" s="18" t="n">
        <v>20300</v>
      </c>
      <c r="I731" s="20"/>
    </row>
    <row r="732" customFormat="false" ht="15" hidden="false" customHeight="false" outlineLevel="0" collapsed="false">
      <c r="A732" s="16" t="n">
        <v>45880</v>
      </c>
      <c r="B732" s="17" t="s">
        <v>825</v>
      </c>
      <c r="C732" s="17" t="s">
        <v>75</v>
      </c>
      <c r="D732" s="17" t="s">
        <v>102</v>
      </c>
      <c r="E732" s="17" t="n">
        <v>18</v>
      </c>
      <c r="F732" s="18" t="n">
        <v>120</v>
      </c>
      <c r="G732" s="19" t="n">
        <v>0.1</v>
      </c>
      <c r="H732" s="18" t="n">
        <v>1944</v>
      </c>
      <c r="I732" s="20"/>
    </row>
    <row r="733" customFormat="false" ht="15" hidden="false" customHeight="false" outlineLevel="0" collapsed="false">
      <c r="A733" s="16" t="n">
        <v>45880</v>
      </c>
      <c r="B733" s="17" t="s">
        <v>826</v>
      </c>
      <c r="C733" s="17" t="s">
        <v>78</v>
      </c>
      <c r="D733" s="17" t="s">
        <v>102</v>
      </c>
      <c r="E733" s="17" t="n">
        <v>10</v>
      </c>
      <c r="F733" s="18" t="n">
        <v>95</v>
      </c>
      <c r="G733" s="19" t="n">
        <v>0</v>
      </c>
      <c r="H733" s="18" t="n">
        <v>950</v>
      </c>
      <c r="I733" s="20"/>
    </row>
    <row r="734" customFormat="false" ht="15" hidden="false" customHeight="false" outlineLevel="0" collapsed="false">
      <c r="A734" s="16" t="n">
        <v>45881</v>
      </c>
      <c r="B734" s="17" t="s">
        <v>827</v>
      </c>
      <c r="C734" s="17" t="s">
        <v>73</v>
      </c>
      <c r="D734" s="17" t="s">
        <v>102</v>
      </c>
      <c r="E734" s="17" t="n">
        <v>17</v>
      </c>
      <c r="F734" s="18" t="n">
        <v>1450</v>
      </c>
      <c r="G734" s="19" t="n">
        <v>0.05</v>
      </c>
      <c r="H734" s="18" t="n">
        <v>23417.5</v>
      </c>
      <c r="I734" s="20"/>
    </row>
    <row r="735" customFormat="false" ht="15" hidden="false" customHeight="false" outlineLevel="0" collapsed="false">
      <c r="A735" s="16" t="n">
        <v>45881</v>
      </c>
      <c r="B735" s="17" t="s">
        <v>828</v>
      </c>
      <c r="C735" s="17" t="s">
        <v>73</v>
      </c>
      <c r="D735" s="17" t="s">
        <v>98</v>
      </c>
      <c r="E735" s="17" t="n">
        <v>10</v>
      </c>
      <c r="F735" s="18" t="n">
        <v>1450</v>
      </c>
      <c r="G735" s="19" t="n">
        <v>0.1</v>
      </c>
      <c r="H735" s="18" t="n">
        <v>13050</v>
      </c>
      <c r="I735" s="20"/>
    </row>
    <row r="736" customFormat="false" ht="15" hidden="false" customHeight="false" outlineLevel="0" collapsed="false">
      <c r="A736" s="16" t="n">
        <v>45881</v>
      </c>
      <c r="B736" s="17" t="s">
        <v>829</v>
      </c>
      <c r="C736" s="17" t="s">
        <v>73</v>
      </c>
      <c r="D736" s="17" t="s">
        <v>102</v>
      </c>
      <c r="E736" s="17" t="n">
        <v>4</v>
      </c>
      <c r="F736" s="18" t="n">
        <v>1450</v>
      </c>
      <c r="G736" s="19" t="n">
        <v>0</v>
      </c>
      <c r="H736" s="18" t="n">
        <v>5800</v>
      </c>
      <c r="I736" s="20"/>
    </row>
    <row r="737" customFormat="false" ht="15" hidden="false" customHeight="false" outlineLevel="0" collapsed="false">
      <c r="A737" s="16" t="n">
        <v>45882</v>
      </c>
      <c r="B737" s="17" t="s">
        <v>830</v>
      </c>
      <c r="C737" s="17" t="s">
        <v>70</v>
      </c>
      <c r="D737" s="17" t="s">
        <v>92</v>
      </c>
      <c r="E737" s="17" t="n">
        <v>13</v>
      </c>
      <c r="F737" s="18" t="n">
        <v>850</v>
      </c>
      <c r="G737" s="19" t="n">
        <v>0.05</v>
      </c>
      <c r="H737" s="18" t="n">
        <v>10497.5</v>
      </c>
      <c r="I737" s="20"/>
    </row>
    <row r="738" customFormat="false" ht="15" hidden="false" customHeight="false" outlineLevel="0" collapsed="false">
      <c r="A738" s="16" t="n">
        <v>45882</v>
      </c>
      <c r="B738" s="17" t="s">
        <v>831</v>
      </c>
      <c r="C738" s="17" t="s">
        <v>70</v>
      </c>
      <c r="D738" s="17" t="s">
        <v>96</v>
      </c>
      <c r="E738" s="17" t="n">
        <v>7</v>
      </c>
      <c r="F738" s="18" t="n">
        <v>850</v>
      </c>
      <c r="G738" s="19" t="n">
        <v>0</v>
      </c>
      <c r="H738" s="18" t="n">
        <v>5950</v>
      </c>
      <c r="I738" s="20"/>
    </row>
    <row r="739" customFormat="false" ht="15" hidden="false" customHeight="false" outlineLevel="0" collapsed="false">
      <c r="A739" s="16" t="n">
        <v>45882</v>
      </c>
      <c r="B739" s="17" t="s">
        <v>832</v>
      </c>
      <c r="C739" s="17" t="s">
        <v>81</v>
      </c>
      <c r="D739" s="17" t="s">
        <v>96</v>
      </c>
      <c r="E739" s="17" t="n">
        <v>13</v>
      </c>
      <c r="F739" s="18" t="n">
        <v>60</v>
      </c>
      <c r="G739" s="19" t="n">
        <v>0</v>
      </c>
      <c r="H739" s="18" t="n">
        <v>780</v>
      </c>
      <c r="I739" s="20"/>
    </row>
    <row r="740" customFormat="false" ht="15" hidden="false" customHeight="false" outlineLevel="0" collapsed="false">
      <c r="A740" s="16" t="n">
        <v>45883</v>
      </c>
      <c r="B740" s="17" t="s">
        <v>833</v>
      </c>
      <c r="C740" s="17" t="s">
        <v>75</v>
      </c>
      <c r="D740" s="17" t="s">
        <v>92</v>
      </c>
      <c r="E740" s="17" t="n">
        <v>9</v>
      </c>
      <c r="F740" s="18" t="n">
        <v>120</v>
      </c>
      <c r="G740" s="19" t="n">
        <v>0</v>
      </c>
      <c r="H740" s="18" t="n">
        <v>1080</v>
      </c>
      <c r="I740" s="20"/>
    </row>
    <row r="741" customFormat="false" ht="15" hidden="false" customHeight="false" outlineLevel="0" collapsed="false">
      <c r="A741" s="16" t="n">
        <v>45883</v>
      </c>
      <c r="B741" s="17" t="s">
        <v>834</v>
      </c>
      <c r="C741" s="17" t="s">
        <v>75</v>
      </c>
      <c r="D741" s="17" t="s">
        <v>92</v>
      </c>
      <c r="E741" s="17" t="n">
        <v>8</v>
      </c>
      <c r="F741" s="18" t="n">
        <v>120</v>
      </c>
      <c r="G741" s="19" t="n">
        <v>0</v>
      </c>
      <c r="H741" s="18" t="n">
        <v>960</v>
      </c>
      <c r="I741" s="20"/>
    </row>
    <row r="742" customFormat="false" ht="15" hidden="false" customHeight="false" outlineLevel="0" collapsed="false">
      <c r="A742" s="16" t="n">
        <v>45883</v>
      </c>
      <c r="B742" s="17" t="s">
        <v>835</v>
      </c>
      <c r="C742" s="17" t="s">
        <v>78</v>
      </c>
      <c r="D742" s="17" t="s">
        <v>92</v>
      </c>
      <c r="E742" s="17" t="n">
        <v>13</v>
      </c>
      <c r="F742" s="18" t="n">
        <v>95</v>
      </c>
      <c r="G742" s="19" t="n">
        <v>0</v>
      </c>
      <c r="H742" s="18" t="n">
        <v>1235</v>
      </c>
      <c r="I742" s="20"/>
    </row>
    <row r="743" customFormat="false" ht="15" hidden="false" customHeight="false" outlineLevel="0" collapsed="false">
      <c r="A743" s="16" t="n">
        <v>45883</v>
      </c>
      <c r="B743" s="17" t="s">
        <v>836</v>
      </c>
      <c r="C743" s="17" t="s">
        <v>73</v>
      </c>
      <c r="D743" s="17" t="s">
        <v>96</v>
      </c>
      <c r="E743" s="17" t="n">
        <v>11</v>
      </c>
      <c r="F743" s="18" t="n">
        <v>1450</v>
      </c>
      <c r="G743" s="19" t="n">
        <v>0.1</v>
      </c>
      <c r="H743" s="18" t="n">
        <v>14355</v>
      </c>
      <c r="I743" s="20"/>
    </row>
    <row r="744" customFormat="false" ht="15" hidden="false" customHeight="false" outlineLevel="0" collapsed="false">
      <c r="A744" s="16" t="n">
        <v>45883</v>
      </c>
      <c r="B744" s="17" t="s">
        <v>837</v>
      </c>
      <c r="C744" s="17" t="s">
        <v>75</v>
      </c>
      <c r="D744" s="17" t="s">
        <v>98</v>
      </c>
      <c r="E744" s="17" t="n">
        <v>4</v>
      </c>
      <c r="F744" s="18" t="n">
        <v>120</v>
      </c>
      <c r="G744" s="19" t="n">
        <v>0.05</v>
      </c>
      <c r="H744" s="18" t="n">
        <v>456</v>
      </c>
      <c r="I744" s="20"/>
    </row>
    <row r="745" customFormat="false" ht="15" hidden="false" customHeight="false" outlineLevel="0" collapsed="false">
      <c r="A745" s="16" t="n">
        <v>45884</v>
      </c>
      <c r="B745" s="17" t="s">
        <v>838</v>
      </c>
      <c r="C745" s="17" t="s">
        <v>81</v>
      </c>
      <c r="D745" s="17" t="s">
        <v>102</v>
      </c>
      <c r="E745" s="17" t="n">
        <v>8</v>
      </c>
      <c r="F745" s="18" t="n">
        <v>60</v>
      </c>
      <c r="G745" s="19" t="n">
        <v>0</v>
      </c>
      <c r="H745" s="18" t="n">
        <v>480</v>
      </c>
      <c r="I745" s="20"/>
    </row>
    <row r="746" customFormat="false" ht="15" hidden="false" customHeight="false" outlineLevel="0" collapsed="false">
      <c r="A746" s="16" t="n">
        <v>45885</v>
      </c>
      <c r="B746" s="17" t="s">
        <v>839</v>
      </c>
      <c r="C746" s="17" t="s">
        <v>81</v>
      </c>
      <c r="D746" s="17" t="s">
        <v>98</v>
      </c>
      <c r="E746" s="17" t="n">
        <v>12</v>
      </c>
      <c r="F746" s="18" t="n">
        <v>60</v>
      </c>
      <c r="G746" s="19" t="n">
        <v>0</v>
      </c>
      <c r="H746" s="18" t="n">
        <v>720</v>
      </c>
      <c r="I746" s="20"/>
    </row>
    <row r="747" customFormat="false" ht="15" hidden="false" customHeight="false" outlineLevel="0" collapsed="false">
      <c r="A747" s="16" t="n">
        <v>45885</v>
      </c>
      <c r="B747" s="17" t="s">
        <v>840</v>
      </c>
      <c r="C747" s="17" t="s">
        <v>75</v>
      </c>
      <c r="D747" s="17" t="s">
        <v>102</v>
      </c>
      <c r="E747" s="17" t="n">
        <v>1</v>
      </c>
      <c r="F747" s="18" t="n">
        <v>120</v>
      </c>
      <c r="G747" s="19" t="n">
        <v>0</v>
      </c>
      <c r="H747" s="18" t="n">
        <v>120</v>
      </c>
      <c r="I747" s="20"/>
    </row>
    <row r="748" customFormat="false" ht="15" hidden="false" customHeight="false" outlineLevel="0" collapsed="false">
      <c r="A748" s="16" t="n">
        <v>45886</v>
      </c>
      <c r="B748" s="17" t="s">
        <v>841</v>
      </c>
      <c r="C748" s="17" t="s">
        <v>78</v>
      </c>
      <c r="D748" s="17" t="s">
        <v>98</v>
      </c>
      <c r="E748" s="17" t="n">
        <v>20</v>
      </c>
      <c r="F748" s="18" t="n">
        <v>95</v>
      </c>
      <c r="G748" s="19" t="n">
        <v>0</v>
      </c>
      <c r="H748" s="18" t="n">
        <v>1900</v>
      </c>
      <c r="I748" s="20"/>
    </row>
    <row r="749" customFormat="false" ht="15" hidden="false" customHeight="false" outlineLevel="0" collapsed="false">
      <c r="A749" s="16" t="n">
        <v>45886</v>
      </c>
      <c r="B749" s="17" t="s">
        <v>842</v>
      </c>
      <c r="C749" s="17" t="s">
        <v>75</v>
      </c>
      <c r="D749" s="17" t="s">
        <v>92</v>
      </c>
      <c r="E749" s="17" t="n">
        <v>14</v>
      </c>
      <c r="F749" s="18" t="n">
        <v>120</v>
      </c>
      <c r="G749" s="19" t="n">
        <v>0.1</v>
      </c>
      <c r="H749" s="18" t="n">
        <v>1512</v>
      </c>
      <c r="I749" s="20"/>
    </row>
    <row r="750" customFormat="false" ht="15" hidden="false" customHeight="false" outlineLevel="0" collapsed="false">
      <c r="A750" s="16" t="n">
        <v>45886</v>
      </c>
      <c r="B750" s="17" t="s">
        <v>843</v>
      </c>
      <c r="C750" s="17" t="s">
        <v>75</v>
      </c>
      <c r="D750" s="17" t="s">
        <v>102</v>
      </c>
      <c r="E750" s="17" t="n">
        <v>18</v>
      </c>
      <c r="F750" s="18" t="n">
        <v>120</v>
      </c>
      <c r="G750" s="19" t="n">
        <v>0</v>
      </c>
      <c r="H750" s="18" t="n">
        <v>2160</v>
      </c>
      <c r="I750" s="20"/>
    </row>
    <row r="751" customFormat="false" ht="15" hidden="false" customHeight="false" outlineLevel="0" collapsed="false">
      <c r="A751" s="16" t="n">
        <v>45886</v>
      </c>
      <c r="B751" s="17" t="s">
        <v>844</v>
      </c>
      <c r="C751" s="17" t="s">
        <v>75</v>
      </c>
      <c r="D751" s="17" t="s">
        <v>92</v>
      </c>
      <c r="E751" s="17" t="n">
        <v>5</v>
      </c>
      <c r="F751" s="18" t="n">
        <v>120</v>
      </c>
      <c r="G751" s="19" t="n">
        <v>0.05</v>
      </c>
      <c r="H751" s="18" t="n">
        <v>570</v>
      </c>
      <c r="I751" s="20"/>
    </row>
    <row r="752" customFormat="false" ht="15" hidden="false" customHeight="false" outlineLevel="0" collapsed="false">
      <c r="A752" s="16" t="n">
        <v>45887</v>
      </c>
      <c r="B752" s="17" t="s">
        <v>845</v>
      </c>
      <c r="C752" s="17" t="s">
        <v>73</v>
      </c>
      <c r="D752" s="17" t="s">
        <v>96</v>
      </c>
      <c r="E752" s="17" t="n">
        <v>7</v>
      </c>
      <c r="F752" s="18" t="n">
        <v>1450</v>
      </c>
      <c r="G752" s="19" t="n">
        <v>0.05</v>
      </c>
      <c r="H752" s="18" t="n">
        <v>9642.5</v>
      </c>
      <c r="I752" s="20"/>
    </row>
    <row r="753" customFormat="false" ht="15" hidden="false" customHeight="false" outlineLevel="0" collapsed="false">
      <c r="A753" s="16" t="n">
        <v>45888</v>
      </c>
      <c r="B753" s="17" t="s">
        <v>846</v>
      </c>
      <c r="C753" s="17" t="s">
        <v>70</v>
      </c>
      <c r="D753" s="17" t="s">
        <v>98</v>
      </c>
      <c r="E753" s="17" t="n">
        <v>9</v>
      </c>
      <c r="F753" s="18" t="n">
        <v>850</v>
      </c>
      <c r="G753" s="19" t="n">
        <v>0</v>
      </c>
      <c r="H753" s="18" t="n">
        <v>7650</v>
      </c>
      <c r="I753" s="20"/>
    </row>
    <row r="754" customFormat="false" ht="15" hidden="false" customHeight="false" outlineLevel="0" collapsed="false">
      <c r="A754" s="16" t="n">
        <v>45888</v>
      </c>
      <c r="B754" s="17" t="s">
        <v>847</v>
      </c>
      <c r="C754" s="17" t="s">
        <v>73</v>
      </c>
      <c r="D754" s="17" t="s">
        <v>92</v>
      </c>
      <c r="E754" s="17" t="n">
        <v>3</v>
      </c>
      <c r="F754" s="18" t="n">
        <v>1450</v>
      </c>
      <c r="G754" s="19" t="n">
        <v>0</v>
      </c>
      <c r="H754" s="18" t="n">
        <v>4350</v>
      </c>
      <c r="I754" s="20"/>
    </row>
    <row r="755" customFormat="false" ht="15" hidden="false" customHeight="false" outlineLevel="0" collapsed="false">
      <c r="A755" s="16" t="n">
        <v>45888</v>
      </c>
      <c r="B755" s="17" t="s">
        <v>848</v>
      </c>
      <c r="C755" s="17" t="s">
        <v>75</v>
      </c>
      <c r="D755" s="17" t="s">
        <v>102</v>
      </c>
      <c r="E755" s="17" t="n">
        <v>9</v>
      </c>
      <c r="F755" s="18" t="n">
        <v>120</v>
      </c>
      <c r="G755" s="19" t="n">
        <v>0</v>
      </c>
      <c r="H755" s="18" t="n">
        <v>1080</v>
      </c>
      <c r="I755" s="20"/>
    </row>
    <row r="756" customFormat="false" ht="15" hidden="false" customHeight="false" outlineLevel="0" collapsed="false">
      <c r="A756" s="16" t="n">
        <v>45889</v>
      </c>
      <c r="B756" s="17" t="s">
        <v>849</v>
      </c>
      <c r="C756" s="17" t="s">
        <v>70</v>
      </c>
      <c r="D756" s="17" t="s">
        <v>102</v>
      </c>
      <c r="E756" s="17" t="n">
        <v>18</v>
      </c>
      <c r="F756" s="18" t="n">
        <v>850</v>
      </c>
      <c r="G756" s="19" t="n">
        <v>0.1</v>
      </c>
      <c r="H756" s="18" t="n">
        <v>13770</v>
      </c>
      <c r="I756" s="20"/>
    </row>
    <row r="757" customFormat="false" ht="15" hidden="false" customHeight="false" outlineLevel="0" collapsed="false">
      <c r="A757" s="16" t="n">
        <v>45889</v>
      </c>
      <c r="B757" s="17" t="s">
        <v>850</v>
      </c>
      <c r="C757" s="17" t="s">
        <v>75</v>
      </c>
      <c r="D757" s="17" t="s">
        <v>98</v>
      </c>
      <c r="E757" s="17" t="n">
        <v>19</v>
      </c>
      <c r="F757" s="18" t="n">
        <v>120</v>
      </c>
      <c r="G757" s="19" t="n">
        <v>0.1</v>
      </c>
      <c r="H757" s="18" t="n">
        <v>2052</v>
      </c>
      <c r="I757" s="20"/>
    </row>
    <row r="758" customFormat="false" ht="15" hidden="false" customHeight="false" outlineLevel="0" collapsed="false">
      <c r="A758" s="16" t="n">
        <v>45890</v>
      </c>
      <c r="B758" s="17" t="s">
        <v>851</v>
      </c>
      <c r="C758" s="17" t="s">
        <v>75</v>
      </c>
      <c r="D758" s="17" t="s">
        <v>102</v>
      </c>
      <c r="E758" s="17" t="n">
        <v>14</v>
      </c>
      <c r="F758" s="18" t="n">
        <v>120</v>
      </c>
      <c r="G758" s="19" t="n">
        <v>0.05</v>
      </c>
      <c r="H758" s="18" t="n">
        <v>1596</v>
      </c>
      <c r="I758" s="20"/>
    </row>
    <row r="759" customFormat="false" ht="15" hidden="false" customHeight="false" outlineLevel="0" collapsed="false">
      <c r="A759" s="16" t="n">
        <v>45890</v>
      </c>
      <c r="B759" s="17" t="s">
        <v>852</v>
      </c>
      <c r="C759" s="17" t="s">
        <v>70</v>
      </c>
      <c r="D759" s="17" t="s">
        <v>102</v>
      </c>
      <c r="E759" s="17" t="n">
        <v>15</v>
      </c>
      <c r="F759" s="18" t="n">
        <v>850</v>
      </c>
      <c r="G759" s="19" t="n">
        <v>0.1</v>
      </c>
      <c r="H759" s="18" t="n">
        <v>11475</v>
      </c>
      <c r="I759" s="20"/>
    </row>
    <row r="760" customFormat="false" ht="15" hidden="false" customHeight="false" outlineLevel="0" collapsed="false">
      <c r="A760" s="16" t="n">
        <v>45890</v>
      </c>
      <c r="B760" s="17" t="s">
        <v>853</v>
      </c>
      <c r="C760" s="17" t="s">
        <v>78</v>
      </c>
      <c r="D760" s="17" t="s">
        <v>96</v>
      </c>
      <c r="E760" s="17" t="n">
        <v>19</v>
      </c>
      <c r="F760" s="18" t="n">
        <v>95</v>
      </c>
      <c r="G760" s="19" t="n">
        <v>0.1</v>
      </c>
      <c r="H760" s="18" t="n">
        <v>1624.5</v>
      </c>
      <c r="I760" s="20"/>
    </row>
    <row r="761" customFormat="false" ht="15" hidden="false" customHeight="false" outlineLevel="0" collapsed="false">
      <c r="A761" s="16" t="n">
        <v>45890</v>
      </c>
      <c r="B761" s="17" t="s">
        <v>854</v>
      </c>
      <c r="C761" s="17" t="s">
        <v>75</v>
      </c>
      <c r="D761" s="17" t="s">
        <v>102</v>
      </c>
      <c r="E761" s="17" t="n">
        <v>19</v>
      </c>
      <c r="F761" s="18" t="n">
        <v>120</v>
      </c>
      <c r="G761" s="19" t="n">
        <v>0.05</v>
      </c>
      <c r="H761" s="18" t="n">
        <v>2166</v>
      </c>
      <c r="I761" s="20"/>
    </row>
    <row r="762" customFormat="false" ht="15" hidden="false" customHeight="false" outlineLevel="0" collapsed="false">
      <c r="A762" s="16" t="n">
        <v>45890</v>
      </c>
      <c r="B762" s="17" t="s">
        <v>855</v>
      </c>
      <c r="C762" s="17" t="s">
        <v>81</v>
      </c>
      <c r="D762" s="17" t="s">
        <v>92</v>
      </c>
      <c r="E762" s="17" t="n">
        <v>6</v>
      </c>
      <c r="F762" s="18" t="n">
        <v>60</v>
      </c>
      <c r="G762" s="19" t="n">
        <v>0</v>
      </c>
      <c r="H762" s="18" t="n">
        <v>360</v>
      </c>
      <c r="I762" s="20"/>
    </row>
    <row r="763" customFormat="false" ht="15" hidden="false" customHeight="false" outlineLevel="0" collapsed="false">
      <c r="A763" s="16" t="n">
        <v>45891</v>
      </c>
      <c r="B763" s="17" t="s">
        <v>856</v>
      </c>
      <c r="C763" s="17" t="s">
        <v>70</v>
      </c>
      <c r="D763" s="17" t="s">
        <v>92</v>
      </c>
      <c r="E763" s="17" t="n">
        <v>20</v>
      </c>
      <c r="F763" s="18" t="n">
        <v>850</v>
      </c>
      <c r="G763" s="19" t="n">
        <v>0</v>
      </c>
      <c r="H763" s="18" t="n">
        <v>17000</v>
      </c>
      <c r="I763" s="20"/>
    </row>
    <row r="764" customFormat="false" ht="15" hidden="false" customHeight="false" outlineLevel="0" collapsed="false">
      <c r="A764" s="16" t="n">
        <v>45891</v>
      </c>
      <c r="B764" s="17" t="s">
        <v>857</v>
      </c>
      <c r="C764" s="17" t="s">
        <v>70</v>
      </c>
      <c r="D764" s="17" t="s">
        <v>92</v>
      </c>
      <c r="E764" s="17" t="n">
        <v>15</v>
      </c>
      <c r="F764" s="18" t="n">
        <v>850</v>
      </c>
      <c r="G764" s="19" t="n">
        <v>0.1</v>
      </c>
      <c r="H764" s="18" t="n">
        <v>11475</v>
      </c>
      <c r="I764" s="20"/>
    </row>
    <row r="765" customFormat="false" ht="15" hidden="false" customHeight="false" outlineLevel="0" collapsed="false">
      <c r="A765" s="16" t="n">
        <v>45891</v>
      </c>
      <c r="B765" s="17" t="s">
        <v>858</v>
      </c>
      <c r="C765" s="17" t="s">
        <v>81</v>
      </c>
      <c r="D765" s="17" t="s">
        <v>98</v>
      </c>
      <c r="E765" s="17" t="n">
        <v>18</v>
      </c>
      <c r="F765" s="18" t="n">
        <v>60</v>
      </c>
      <c r="G765" s="19" t="n">
        <v>0</v>
      </c>
      <c r="H765" s="18" t="n">
        <v>1080</v>
      </c>
      <c r="I765" s="20"/>
    </row>
    <row r="766" customFormat="false" ht="15" hidden="false" customHeight="false" outlineLevel="0" collapsed="false">
      <c r="A766" s="16" t="n">
        <v>45891</v>
      </c>
      <c r="B766" s="17" t="s">
        <v>859</v>
      </c>
      <c r="C766" s="17" t="s">
        <v>81</v>
      </c>
      <c r="D766" s="17" t="s">
        <v>96</v>
      </c>
      <c r="E766" s="17" t="n">
        <v>13</v>
      </c>
      <c r="F766" s="18" t="n">
        <v>60</v>
      </c>
      <c r="G766" s="19" t="n">
        <v>0</v>
      </c>
      <c r="H766" s="18" t="n">
        <v>780</v>
      </c>
      <c r="I766" s="20"/>
    </row>
    <row r="767" customFormat="false" ht="15" hidden="false" customHeight="false" outlineLevel="0" collapsed="false">
      <c r="A767" s="16" t="n">
        <v>45891</v>
      </c>
      <c r="B767" s="17" t="s">
        <v>860</v>
      </c>
      <c r="C767" s="17" t="s">
        <v>75</v>
      </c>
      <c r="D767" s="17" t="s">
        <v>96</v>
      </c>
      <c r="E767" s="17" t="n">
        <v>16</v>
      </c>
      <c r="F767" s="18" t="n">
        <v>120</v>
      </c>
      <c r="G767" s="19" t="n">
        <v>0.1</v>
      </c>
      <c r="H767" s="18" t="n">
        <v>1728</v>
      </c>
      <c r="I767" s="20"/>
    </row>
    <row r="768" customFormat="false" ht="15" hidden="false" customHeight="false" outlineLevel="0" collapsed="false">
      <c r="A768" s="16" t="n">
        <v>45892</v>
      </c>
      <c r="B768" s="17" t="s">
        <v>861</v>
      </c>
      <c r="C768" s="17" t="s">
        <v>75</v>
      </c>
      <c r="D768" s="17" t="s">
        <v>102</v>
      </c>
      <c r="E768" s="17" t="n">
        <v>16</v>
      </c>
      <c r="F768" s="18" t="n">
        <v>120</v>
      </c>
      <c r="G768" s="19" t="n">
        <v>0</v>
      </c>
      <c r="H768" s="18" t="n">
        <v>1920</v>
      </c>
      <c r="I768" s="20"/>
    </row>
    <row r="769" customFormat="false" ht="15" hidden="false" customHeight="false" outlineLevel="0" collapsed="false">
      <c r="A769" s="16" t="n">
        <v>45892</v>
      </c>
      <c r="B769" s="17" t="s">
        <v>862</v>
      </c>
      <c r="C769" s="17" t="s">
        <v>73</v>
      </c>
      <c r="D769" s="17" t="s">
        <v>98</v>
      </c>
      <c r="E769" s="17" t="n">
        <v>5</v>
      </c>
      <c r="F769" s="18" t="n">
        <v>1450</v>
      </c>
      <c r="G769" s="19" t="n">
        <v>0.05</v>
      </c>
      <c r="H769" s="18" t="n">
        <v>6887.5</v>
      </c>
      <c r="I769" s="20"/>
    </row>
    <row r="770" customFormat="false" ht="15" hidden="false" customHeight="false" outlineLevel="0" collapsed="false">
      <c r="A770" s="16" t="n">
        <v>45892</v>
      </c>
      <c r="B770" s="17" t="s">
        <v>863</v>
      </c>
      <c r="C770" s="17" t="s">
        <v>73</v>
      </c>
      <c r="D770" s="17" t="s">
        <v>102</v>
      </c>
      <c r="E770" s="17" t="n">
        <v>15</v>
      </c>
      <c r="F770" s="18" t="n">
        <v>1450</v>
      </c>
      <c r="G770" s="19" t="n">
        <v>0.05</v>
      </c>
      <c r="H770" s="18" t="n">
        <v>20662.5</v>
      </c>
      <c r="I770" s="20"/>
    </row>
    <row r="771" customFormat="false" ht="15" hidden="false" customHeight="false" outlineLevel="0" collapsed="false">
      <c r="A771" s="16" t="n">
        <v>45892</v>
      </c>
      <c r="B771" s="17" t="s">
        <v>864</v>
      </c>
      <c r="C771" s="17" t="s">
        <v>81</v>
      </c>
      <c r="D771" s="17" t="s">
        <v>102</v>
      </c>
      <c r="E771" s="17" t="n">
        <v>13</v>
      </c>
      <c r="F771" s="18" t="n">
        <v>60</v>
      </c>
      <c r="G771" s="19" t="n">
        <v>0</v>
      </c>
      <c r="H771" s="18" t="n">
        <v>780</v>
      </c>
      <c r="I771" s="20"/>
    </row>
    <row r="772" customFormat="false" ht="15" hidden="false" customHeight="false" outlineLevel="0" collapsed="false">
      <c r="A772" s="16" t="n">
        <v>45892</v>
      </c>
      <c r="B772" s="17" t="s">
        <v>865</v>
      </c>
      <c r="C772" s="17" t="s">
        <v>73</v>
      </c>
      <c r="D772" s="17" t="s">
        <v>92</v>
      </c>
      <c r="E772" s="17" t="n">
        <v>9</v>
      </c>
      <c r="F772" s="18" t="n">
        <v>1450</v>
      </c>
      <c r="G772" s="19" t="n">
        <v>0.1</v>
      </c>
      <c r="H772" s="18" t="n">
        <v>11745</v>
      </c>
      <c r="I772" s="20"/>
    </row>
    <row r="773" customFormat="false" ht="15" hidden="false" customHeight="false" outlineLevel="0" collapsed="false">
      <c r="A773" s="16" t="n">
        <v>45893</v>
      </c>
      <c r="B773" s="17" t="s">
        <v>866</v>
      </c>
      <c r="C773" s="17" t="s">
        <v>75</v>
      </c>
      <c r="D773" s="17" t="s">
        <v>102</v>
      </c>
      <c r="E773" s="17" t="n">
        <v>19</v>
      </c>
      <c r="F773" s="18" t="n">
        <v>120</v>
      </c>
      <c r="G773" s="19" t="n">
        <v>0.1</v>
      </c>
      <c r="H773" s="18" t="n">
        <v>2052</v>
      </c>
      <c r="I773" s="20"/>
    </row>
    <row r="774" customFormat="false" ht="15" hidden="false" customHeight="false" outlineLevel="0" collapsed="false">
      <c r="A774" s="16" t="n">
        <v>45893</v>
      </c>
      <c r="B774" s="17" t="s">
        <v>867</v>
      </c>
      <c r="C774" s="17" t="s">
        <v>70</v>
      </c>
      <c r="D774" s="17" t="s">
        <v>98</v>
      </c>
      <c r="E774" s="17" t="n">
        <v>16</v>
      </c>
      <c r="F774" s="18" t="n">
        <v>850</v>
      </c>
      <c r="G774" s="19" t="n">
        <v>0.05</v>
      </c>
      <c r="H774" s="18" t="n">
        <v>12920</v>
      </c>
      <c r="I774" s="20"/>
    </row>
    <row r="775" customFormat="false" ht="15" hidden="false" customHeight="false" outlineLevel="0" collapsed="false">
      <c r="A775" s="16" t="n">
        <v>45893</v>
      </c>
      <c r="B775" s="17" t="s">
        <v>868</v>
      </c>
      <c r="C775" s="17" t="s">
        <v>78</v>
      </c>
      <c r="D775" s="17" t="s">
        <v>98</v>
      </c>
      <c r="E775" s="17" t="n">
        <v>5</v>
      </c>
      <c r="F775" s="18" t="n">
        <v>95</v>
      </c>
      <c r="G775" s="19" t="n">
        <v>0</v>
      </c>
      <c r="H775" s="18" t="n">
        <v>475</v>
      </c>
      <c r="I775" s="20"/>
    </row>
    <row r="776" customFormat="false" ht="15" hidden="false" customHeight="false" outlineLevel="0" collapsed="false">
      <c r="A776" s="16" t="n">
        <v>45893</v>
      </c>
      <c r="B776" s="17" t="s">
        <v>869</v>
      </c>
      <c r="C776" s="17" t="s">
        <v>78</v>
      </c>
      <c r="D776" s="17" t="s">
        <v>98</v>
      </c>
      <c r="E776" s="17" t="n">
        <v>2</v>
      </c>
      <c r="F776" s="18" t="n">
        <v>95</v>
      </c>
      <c r="G776" s="19" t="n">
        <v>0</v>
      </c>
      <c r="H776" s="18" t="n">
        <v>190</v>
      </c>
      <c r="I776" s="20"/>
    </row>
    <row r="777" customFormat="false" ht="15" hidden="false" customHeight="false" outlineLevel="0" collapsed="false">
      <c r="A777" s="16" t="n">
        <v>45893</v>
      </c>
      <c r="B777" s="17" t="s">
        <v>870</v>
      </c>
      <c r="C777" s="17" t="s">
        <v>78</v>
      </c>
      <c r="D777" s="17" t="s">
        <v>102</v>
      </c>
      <c r="E777" s="17" t="n">
        <v>10</v>
      </c>
      <c r="F777" s="18" t="n">
        <v>95</v>
      </c>
      <c r="G777" s="19" t="n">
        <v>0.1</v>
      </c>
      <c r="H777" s="18" t="n">
        <v>855</v>
      </c>
      <c r="I777" s="20"/>
    </row>
    <row r="778" customFormat="false" ht="15" hidden="false" customHeight="false" outlineLevel="0" collapsed="false">
      <c r="A778" s="16" t="n">
        <v>45893</v>
      </c>
      <c r="B778" s="17" t="s">
        <v>871</v>
      </c>
      <c r="C778" s="17" t="s">
        <v>78</v>
      </c>
      <c r="D778" s="17" t="s">
        <v>92</v>
      </c>
      <c r="E778" s="17" t="n">
        <v>18</v>
      </c>
      <c r="F778" s="18" t="n">
        <v>95</v>
      </c>
      <c r="G778" s="19" t="n">
        <v>0</v>
      </c>
      <c r="H778" s="18" t="n">
        <v>1710</v>
      </c>
      <c r="I778" s="20"/>
    </row>
    <row r="779" customFormat="false" ht="15" hidden="false" customHeight="false" outlineLevel="0" collapsed="false">
      <c r="A779" s="16" t="n">
        <v>45893</v>
      </c>
      <c r="B779" s="17" t="s">
        <v>872</v>
      </c>
      <c r="C779" s="17" t="s">
        <v>73</v>
      </c>
      <c r="D779" s="17" t="s">
        <v>92</v>
      </c>
      <c r="E779" s="17" t="n">
        <v>20</v>
      </c>
      <c r="F779" s="18" t="n">
        <v>1450</v>
      </c>
      <c r="G779" s="19" t="n">
        <v>0</v>
      </c>
      <c r="H779" s="18" t="n">
        <v>29000</v>
      </c>
      <c r="I779" s="20"/>
    </row>
    <row r="780" customFormat="false" ht="15" hidden="false" customHeight="false" outlineLevel="0" collapsed="false">
      <c r="A780" s="16" t="n">
        <v>45894</v>
      </c>
      <c r="B780" s="17" t="s">
        <v>873</v>
      </c>
      <c r="C780" s="17" t="s">
        <v>78</v>
      </c>
      <c r="D780" s="17" t="s">
        <v>102</v>
      </c>
      <c r="E780" s="17" t="n">
        <v>6</v>
      </c>
      <c r="F780" s="18" t="n">
        <v>95</v>
      </c>
      <c r="G780" s="19" t="n">
        <v>0</v>
      </c>
      <c r="H780" s="18" t="n">
        <v>570</v>
      </c>
      <c r="I780" s="20"/>
    </row>
    <row r="781" customFormat="false" ht="15" hidden="false" customHeight="false" outlineLevel="0" collapsed="false">
      <c r="A781" s="16" t="n">
        <v>45894</v>
      </c>
      <c r="B781" s="17" t="s">
        <v>874</v>
      </c>
      <c r="C781" s="17" t="s">
        <v>78</v>
      </c>
      <c r="D781" s="17" t="s">
        <v>102</v>
      </c>
      <c r="E781" s="17" t="n">
        <v>5</v>
      </c>
      <c r="F781" s="18" t="n">
        <v>95</v>
      </c>
      <c r="G781" s="19" t="n">
        <v>0</v>
      </c>
      <c r="H781" s="18" t="n">
        <v>475</v>
      </c>
      <c r="I781" s="20"/>
    </row>
    <row r="782" customFormat="false" ht="15" hidden="false" customHeight="false" outlineLevel="0" collapsed="false">
      <c r="A782" s="16" t="n">
        <v>45894</v>
      </c>
      <c r="B782" s="17" t="s">
        <v>875</v>
      </c>
      <c r="C782" s="17" t="s">
        <v>70</v>
      </c>
      <c r="D782" s="17" t="s">
        <v>98</v>
      </c>
      <c r="E782" s="17" t="n">
        <v>15</v>
      </c>
      <c r="F782" s="18" t="n">
        <v>850</v>
      </c>
      <c r="G782" s="19" t="n">
        <v>0</v>
      </c>
      <c r="H782" s="18" t="n">
        <v>12750</v>
      </c>
      <c r="I782" s="20"/>
    </row>
    <row r="783" customFormat="false" ht="15" hidden="false" customHeight="false" outlineLevel="0" collapsed="false">
      <c r="A783" s="16" t="n">
        <v>45895</v>
      </c>
      <c r="B783" s="17" t="s">
        <v>876</v>
      </c>
      <c r="C783" s="17" t="s">
        <v>73</v>
      </c>
      <c r="D783" s="17" t="s">
        <v>98</v>
      </c>
      <c r="E783" s="17" t="n">
        <v>17</v>
      </c>
      <c r="F783" s="18" t="n">
        <v>1450</v>
      </c>
      <c r="G783" s="19" t="n">
        <v>0</v>
      </c>
      <c r="H783" s="18" t="n">
        <v>24650</v>
      </c>
      <c r="I783" s="20"/>
    </row>
    <row r="784" customFormat="false" ht="15" hidden="false" customHeight="false" outlineLevel="0" collapsed="false">
      <c r="A784" s="16" t="n">
        <v>45895</v>
      </c>
      <c r="B784" s="17" t="s">
        <v>877</v>
      </c>
      <c r="C784" s="17" t="s">
        <v>70</v>
      </c>
      <c r="D784" s="17" t="s">
        <v>92</v>
      </c>
      <c r="E784" s="17" t="n">
        <v>10</v>
      </c>
      <c r="F784" s="18" t="n">
        <v>850</v>
      </c>
      <c r="G784" s="19" t="n">
        <v>0</v>
      </c>
      <c r="H784" s="18" t="n">
        <v>8500</v>
      </c>
      <c r="I784" s="20"/>
    </row>
    <row r="785" customFormat="false" ht="15" hidden="false" customHeight="false" outlineLevel="0" collapsed="false">
      <c r="A785" s="16" t="n">
        <v>45896</v>
      </c>
      <c r="B785" s="17" t="s">
        <v>878</v>
      </c>
      <c r="C785" s="17" t="s">
        <v>81</v>
      </c>
      <c r="D785" s="17" t="s">
        <v>98</v>
      </c>
      <c r="E785" s="17" t="n">
        <v>8</v>
      </c>
      <c r="F785" s="18" t="n">
        <v>60</v>
      </c>
      <c r="G785" s="19" t="n">
        <v>0</v>
      </c>
      <c r="H785" s="18" t="n">
        <v>480</v>
      </c>
      <c r="I785" s="20"/>
    </row>
    <row r="786" customFormat="false" ht="15" hidden="false" customHeight="false" outlineLevel="0" collapsed="false">
      <c r="A786" s="16" t="n">
        <v>45897</v>
      </c>
      <c r="B786" s="17" t="s">
        <v>879</v>
      </c>
      <c r="C786" s="17" t="s">
        <v>73</v>
      </c>
      <c r="D786" s="17" t="s">
        <v>102</v>
      </c>
      <c r="E786" s="17" t="n">
        <v>16</v>
      </c>
      <c r="F786" s="18" t="n">
        <v>1450</v>
      </c>
      <c r="G786" s="19" t="n">
        <v>0</v>
      </c>
      <c r="H786" s="18" t="n">
        <v>23200</v>
      </c>
      <c r="I786" s="20"/>
    </row>
    <row r="787" customFormat="false" ht="15" hidden="false" customHeight="false" outlineLevel="0" collapsed="false">
      <c r="A787" s="16" t="n">
        <v>45897</v>
      </c>
      <c r="B787" s="17" t="s">
        <v>880</v>
      </c>
      <c r="C787" s="17" t="s">
        <v>70</v>
      </c>
      <c r="D787" s="17" t="s">
        <v>96</v>
      </c>
      <c r="E787" s="17" t="n">
        <v>6</v>
      </c>
      <c r="F787" s="18" t="n">
        <v>850</v>
      </c>
      <c r="G787" s="19" t="n">
        <v>0</v>
      </c>
      <c r="H787" s="18" t="n">
        <v>5100</v>
      </c>
      <c r="I787" s="20"/>
    </row>
    <row r="788" customFormat="false" ht="15" hidden="false" customHeight="false" outlineLevel="0" collapsed="false">
      <c r="A788" s="16" t="n">
        <v>45897</v>
      </c>
      <c r="B788" s="17" t="s">
        <v>881</v>
      </c>
      <c r="C788" s="17" t="s">
        <v>73</v>
      </c>
      <c r="D788" s="17" t="s">
        <v>98</v>
      </c>
      <c r="E788" s="17" t="n">
        <v>3</v>
      </c>
      <c r="F788" s="18" t="n">
        <v>1450</v>
      </c>
      <c r="G788" s="19" t="n">
        <v>0.05</v>
      </c>
      <c r="H788" s="18" t="n">
        <v>4132.5</v>
      </c>
      <c r="I788" s="20"/>
    </row>
    <row r="789" customFormat="false" ht="15" hidden="false" customHeight="false" outlineLevel="0" collapsed="false">
      <c r="A789" s="16" t="n">
        <v>45897</v>
      </c>
      <c r="B789" s="17" t="s">
        <v>882</v>
      </c>
      <c r="C789" s="17" t="s">
        <v>81</v>
      </c>
      <c r="D789" s="17" t="s">
        <v>98</v>
      </c>
      <c r="E789" s="17" t="n">
        <v>14</v>
      </c>
      <c r="F789" s="18" t="n">
        <v>60</v>
      </c>
      <c r="G789" s="19" t="n">
        <v>0</v>
      </c>
      <c r="H789" s="18" t="n">
        <v>840</v>
      </c>
      <c r="I789" s="20"/>
    </row>
    <row r="790" customFormat="false" ht="15" hidden="false" customHeight="false" outlineLevel="0" collapsed="false">
      <c r="A790" s="16" t="n">
        <v>45901</v>
      </c>
      <c r="B790" s="17" t="s">
        <v>883</v>
      </c>
      <c r="C790" s="17" t="s">
        <v>75</v>
      </c>
      <c r="D790" s="17" t="s">
        <v>102</v>
      </c>
      <c r="E790" s="17" t="n">
        <v>2</v>
      </c>
      <c r="F790" s="18" t="n">
        <v>120</v>
      </c>
      <c r="G790" s="19" t="n">
        <v>0</v>
      </c>
      <c r="H790" s="18" t="n">
        <v>240</v>
      </c>
      <c r="I790" s="20"/>
    </row>
    <row r="791" customFormat="false" ht="15" hidden="false" customHeight="false" outlineLevel="0" collapsed="false">
      <c r="A791" s="16" t="n">
        <v>45901</v>
      </c>
      <c r="B791" s="17" t="s">
        <v>884</v>
      </c>
      <c r="C791" s="17" t="s">
        <v>81</v>
      </c>
      <c r="D791" s="17" t="s">
        <v>98</v>
      </c>
      <c r="E791" s="17" t="n">
        <v>7</v>
      </c>
      <c r="F791" s="18" t="n">
        <v>60</v>
      </c>
      <c r="G791" s="19" t="n">
        <v>0</v>
      </c>
      <c r="H791" s="18" t="n">
        <v>420</v>
      </c>
      <c r="I791" s="20"/>
    </row>
    <row r="792" customFormat="false" ht="15" hidden="false" customHeight="false" outlineLevel="0" collapsed="false">
      <c r="A792" s="16" t="n">
        <v>45901</v>
      </c>
      <c r="B792" s="17" t="s">
        <v>885</v>
      </c>
      <c r="C792" s="17" t="s">
        <v>81</v>
      </c>
      <c r="D792" s="17" t="s">
        <v>98</v>
      </c>
      <c r="E792" s="17" t="n">
        <v>1</v>
      </c>
      <c r="F792" s="18" t="n">
        <v>60</v>
      </c>
      <c r="G792" s="19" t="n">
        <v>0</v>
      </c>
      <c r="H792" s="18" t="n">
        <v>60</v>
      </c>
      <c r="I792" s="20"/>
    </row>
    <row r="793" customFormat="false" ht="15" hidden="false" customHeight="false" outlineLevel="0" collapsed="false">
      <c r="A793" s="16" t="n">
        <v>45901</v>
      </c>
      <c r="B793" s="17" t="s">
        <v>886</v>
      </c>
      <c r="C793" s="17" t="s">
        <v>73</v>
      </c>
      <c r="D793" s="17" t="s">
        <v>98</v>
      </c>
      <c r="E793" s="17" t="n">
        <v>7</v>
      </c>
      <c r="F793" s="18" t="n">
        <v>1450</v>
      </c>
      <c r="G793" s="19" t="n">
        <v>0.1</v>
      </c>
      <c r="H793" s="18" t="n">
        <v>9135</v>
      </c>
      <c r="I793" s="20"/>
    </row>
    <row r="794" customFormat="false" ht="15" hidden="false" customHeight="false" outlineLevel="0" collapsed="false">
      <c r="A794" s="16" t="n">
        <v>45902</v>
      </c>
      <c r="B794" s="17" t="s">
        <v>887</v>
      </c>
      <c r="C794" s="17" t="s">
        <v>70</v>
      </c>
      <c r="D794" s="17" t="s">
        <v>96</v>
      </c>
      <c r="E794" s="17" t="n">
        <v>12</v>
      </c>
      <c r="F794" s="18" t="n">
        <v>850</v>
      </c>
      <c r="G794" s="19" t="n">
        <v>0</v>
      </c>
      <c r="H794" s="18" t="n">
        <v>10200</v>
      </c>
      <c r="I794" s="20"/>
    </row>
    <row r="795" customFormat="false" ht="15" hidden="false" customHeight="false" outlineLevel="0" collapsed="false">
      <c r="A795" s="16" t="n">
        <v>45902</v>
      </c>
      <c r="B795" s="17" t="s">
        <v>888</v>
      </c>
      <c r="C795" s="17" t="s">
        <v>75</v>
      </c>
      <c r="D795" s="17" t="s">
        <v>102</v>
      </c>
      <c r="E795" s="17" t="n">
        <v>3</v>
      </c>
      <c r="F795" s="18" t="n">
        <v>120</v>
      </c>
      <c r="G795" s="19" t="n">
        <v>0.1</v>
      </c>
      <c r="H795" s="18" t="n">
        <v>324</v>
      </c>
      <c r="I795" s="20"/>
    </row>
    <row r="796" customFormat="false" ht="15" hidden="false" customHeight="false" outlineLevel="0" collapsed="false">
      <c r="A796" s="16" t="n">
        <v>45902</v>
      </c>
      <c r="B796" s="17" t="s">
        <v>889</v>
      </c>
      <c r="C796" s="17" t="s">
        <v>75</v>
      </c>
      <c r="D796" s="17" t="s">
        <v>92</v>
      </c>
      <c r="E796" s="17" t="n">
        <v>19</v>
      </c>
      <c r="F796" s="18" t="n">
        <v>120</v>
      </c>
      <c r="G796" s="19" t="n">
        <v>0</v>
      </c>
      <c r="H796" s="18" t="n">
        <v>2280</v>
      </c>
      <c r="I796" s="20"/>
    </row>
    <row r="797" customFormat="false" ht="15" hidden="false" customHeight="false" outlineLevel="0" collapsed="false">
      <c r="A797" s="16" t="n">
        <v>45903</v>
      </c>
      <c r="B797" s="17" t="s">
        <v>890</v>
      </c>
      <c r="C797" s="17" t="s">
        <v>78</v>
      </c>
      <c r="D797" s="17" t="s">
        <v>96</v>
      </c>
      <c r="E797" s="17" t="n">
        <v>17</v>
      </c>
      <c r="F797" s="18" t="n">
        <v>95</v>
      </c>
      <c r="G797" s="19" t="n">
        <v>0</v>
      </c>
      <c r="H797" s="18" t="n">
        <v>1615</v>
      </c>
      <c r="I797" s="20"/>
    </row>
    <row r="798" customFormat="false" ht="15" hidden="false" customHeight="false" outlineLevel="0" collapsed="false">
      <c r="A798" s="16" t="n">
        <v>45903</v>
      </c>
      <c r="B798" s="17" t="s">
        <v>891</v>
      </c>
      <c r="C798" s="17" t="s">
        <v>78</v>
      </c>
      <c r="D798" s="17" t="s">
        <v>92</v>
      </c>
      <c r="E798" s="17" t="n">
        <v>2</v>
      </c>
      <c r="F798" s="18" t="n">
        <v>95</v>
      </c>
      <c r="G798" s="19" t="n">
        <v>0.1</v>
      </c>
      <c r="H798" s="18" t="n">
        <v>171</v>
      </c>
      <c r="I798" s="20"/>
    </row>
    <row r="799" customFormat="false" ht="15" hidden="false" customHeight="false" outlineLevel="0" collapsed="false">
      <c r="A799" s="16" t="n">
        <v>45903</v>
      </c>
      <c r="B799" s="17" t="s">
        <v>892</v>
      </c>
      <c r="C799" s="17" t="s">
        <v>78</v>
      </c>
      <c r="D799" s="17" t="s">
        <v>102</v>
      </c>
      <c r="E799" s="17" t="n">
        <v>16</v>
      </c>
      <c r="F799" s="18" t="n">
        <v>95</v>
      </c>
      <c r="G799" s="19" t="n">
        <v>0</v>
      </c>
      <c r="H799" s="18" t="n">
        <v>1520</v>
      </c>
      <c r="I799" s="20"/>
    </row>
    <row r="800" customFormat="false" ht="15" hidden="false" customHeight="false" outlineLevel="0" collapsed="false">
      <c r="A800" s="16" t="n">
        <v>45903</v>
      </c>
      <c r="B800" s="17" t="s">
        <v>893</v>
      </c>
      <c r="C800" s="17" t="s">
        <v>70</v>
      </c>
      <c r="D800" s="17" t="s">
        <v>102</v>
      </c>
      <c r="E800" s="17" t="n">
        <v>9</v>
      </c>
      <c r="F800" s="18" t="n">
        <v>850</v>
      </c>
      <c r="G800" s="19" t="n">
        <v>0</v>
      </c>
      <c r="H800" s="18" t="n">
        <v>7650</v>
      </c>
      <c r="I800" s="20"/>
    </row>
    <row r="801" customFormat="false" ht="15" hidden="false" customHeight="false" outlineLevel="0" collapsed="false">
      <c r="A801" s="16" t="n">
        <v>45903</v>
      </c>
      <c r="B801" s="17" t="s">
        <v>894</v>
      </c>
      <c r="C801" s="17" t="s">
        <v>78</v>
      </c>
      <c r="D801" s="17" t="s">
        <v>98</v>
      </c>
      <c r="E801" s="17" t="n">
        <v>17</v>
      </c>
      <c r="F801" s="18" t="n">
        <v>95</v>
      </c>
      <c r="G801" s="19" t="n">
        <v>0</v>
      </c>
      <c r="H801" s="18" t="n">
        <v>1615</v>
      </c>
      <c r="I801" s="20"/>
    </row>
    <row r="802" customFormat="false" ht="15" hidden="false" customHeight="false" outlineLevel="0" collapsed="false">
      <c r="A802" s="16" t="n">
        <v>45904</v>
      </c>
      <c r="B802" s="17" t="s">
        <v>895</v>
      </c>
      <c r="C802" s="17" t="s">
        <v>75</v>
      </c>
      <c r="D802" s="17" t="s">
        <v>102</v>
      </c>
      <c r="E802" s="17" t="n">
        <v>4</v>
      </c>
      <c r="F802" s="18" t="n">
        <v>120</v>
      </c>
      <c r="G802" s="19" t="n">
        <v>0</v>
      </c>
      <c r="H802" s="18" t="n">
        <v>480</v>
      </c>
      <c r="I802" s="20"/>
    </row>
    <row r="803" customFormat="false" ht="15" hidden="false" customHeight="false" outlineLevel="0" collapsed="false">
      <c r="A803" s="16" t="n">
        <v>45904</v>
      </c>
      <c r="B803" s="17" t="s">
        <v>896</v>
      </c>
      <c r="C803" s="17" t="s">
        <v>78</v>
      </c>
      <c r="D803" s="17" t="s">
        <v>92</v>
      </c>
      <c r="E803" s="17" t="n">
        <v>10</v>
      </c>
      <c r="F803" s="18" t="n">
        <v>95</v>
      </c>
      <c r="G803" s="19" t="n">
        <v>0</v>
      </c>
      <c r="H803" s="18" t="n">
        <v>950</v>
      </c>
      <c r="I803" s="20"/>
    </row>
    <row r="804" customFormat="false" ht="15" hidden="false" customHeight="false" outlineLevel="0" collapsed="false">
      <c r="A804" s="16" t="n">
        <v>45904</v>
      </c>
      <c r="B804" s="17" t="s">
        <v>897</v>
      </c>
      <c r="C804" s="17" t="s">
        <v>75</v>
      </c>
      <c r="D804" s="17" t="s">
        <v>92</v>
      </c>
      <c r="E804" s="17" t="n">
        <v>2</v>
      </c>
      <c r="F804" s="18" t="n">
        <v>120</v>
      </c>
      <c r="G804" s="19" t="n">
        <v>0.05</v>
      </c>
      <c r="H804" s="18" t="n">
        <v>228</v>
      </c>
      <c r="I804" s="20"/>
    </row>
    <row r="805" customFormat="false" ht="15" hidden="false" customHeight="false" outlineLevel="0" collapsed="false">
      <c r="A805" s="16" t="n">
        <v>45904</v>
      </c>
      <c r="B805" s="17" t="s">
        <v>898</v>
      </c>
      <c r="C805" s="17" t="s">
        <v>81</v>
      </c>
      <c r="D805" s="17" t="s">
        <v>102</v>
      </c>
      <c r="E805" s="17" t="n">
        <v>3</v>
      </c>
      <c r="F805" s="18" t="n">
        <v>60</v>
      </c>
      <c r="G805" s="19" t="n">
        <v>0.05</v>
      </c>
      <c r="H805" s="18" t="n">
        <v>171</v>
      </c>
      <c r="I805" s="20"/>
    </row>
    <row r="806" customFormat="false" ht="15" hidden="false" customHeight="false" outlineLevel="0" collapsed="false">
      <c r="A806" s="16" t="n">
        <v>45904</v>
      </c>
      <c r="B806" s="17" t="s">
        <v>899</v>
      </c>
      <c r="C806" s="17" t="s">
        <v>78</v>
      </c>
      <c r="D806" s="17" t="s">
        <v>96</v>
      </c>
      <c r="E806" s="17" t="n">
        <v>12</v>
      </c>
      <c r="F806" s="18" t="n">
        <v>95</v>
      </c>
      <c r="G806" s="19" t="n">
        <v>0</v>
      </c>
      <c r="H806" s="18" t="n">
        <v>1140</v>
      </c>
      <c r="I806" s="20"/>
    </row>
    <row r="807" customFormat="false" ht="15" hidden="false" customHeight="false" outlineLevel="0" collapsed="false">
      <c r="A807" s="16" t="n">
        <v>45905</v>
      </c>
      <c r="B807" s="17" t="s">
        <v>900</v>
      </c>
      <c r="C807" s="17" t="s">
        <v>78</v>
      </c>
      <c r="D807" s="17" t="s">
        <v>96</v>
      </c>
      <c r="E807" s="17" t="n">
        <v>2</v>
      </c>
      <c r="F807" s="18" t="n">
        <v>95</v>
      </c>
      <c r="G807" s="19" t="n">
        <v>0</v>
      </c>
      <c r="H807" s="18" t="n">
        <v>190</v>
      </c>
      <c r="I807" s="20"/>
    </row>
    <row r="808" customFormat="false" ht="15" hidden="false" customHeight="false" outlineLevel="0" collapsed="false">
      <c r="A808" s="16" t="n">
        <v>45905</v>
      </c>
      <c r="B808" s="17" t="s">
        <v>901</v>
      </c>
      <c r="C808" s="17" t="s">
        <v>78</v>
      </c>
      <c r="D808" s="17" t="s">
        <v>96</v>
      </c>
      <c r="E808" s="17" t="n">
        <v>17</v>
      </c>
      <c r="F808" s="18" t="n">
        <v>95</v>
      </c>
      <c r="G808" s="19" t="n">
        <v>0</v>
      </c>
      <c r="H808" s="18" t="n">
        <v>1615</v>
      </c>
      <c r="I808" s="20"/>
    </row>
    <row r="809" customFormat="false" ht="15" hidden="false" customHeight="false" outlineLevel="0" collapsed="false">
      <c r="A809" s="16" t="n">
        <v>45905</v>
      </c>
      <c r="B809" s="17" t="s">
        <v>902</v>
      </c>
      <c r="C809" s="17" t="s">
        <v>73</v>
      </c>
      <c r="D809" s="17" t="s">
        <v>92</v>
      </c>
      <c r="E809" s="17" t="n">
        <v>5</v>
      </c>
      <c r="F809" s="18" t="n">
        <v>1450</v>
      </c>
      <c r="G809" s="19" t="n">
        <v>0</v>
      </c>
      <c r="H809" s="18" t="n">
        <v>7250</v>
      </c>
      <c r="I809" s="20"/>
    </row>
    <row r="810" customFormat="false" ht="15" hidden="false" customHeight="false" outlineLevel="0" collapsed="false">
      <c r="A810" s="16" t="n">
        <v>45905</v>
      </c>
      <c r="B810" s="17" t="s">
        <v>903</v>
      </c>
      <c r="C810" s="17" t="s">
        <v>81</v>
      </c>
      <c r="D810" s="17" t="s">
        <v>96</v>
      </c>
      <c r="E810" s="17" t="n">
        <v>12</v>
      </c>
      <c r="F810" s="18" t="n">
        <v>60</v>
      </c>
      <c r="G810" s="19" t="n">
        <v>0</v>
      </c>
      <c r="H810" s="18" t="n">
        <v>720</v>
      </c>
      <c r="I810" s="20"/>
    </row>
    <row r="811" customFormat="false" ht="15" hidden="false" customHeight="false" outlineLevel="0" collapsed="false">
      <c r="A811" s="16" t="n">
        <v>45906</v>
      </c>
      <c r="B811" s="17" t="s">
        <v>904</v>
      </c>
      <c r="C811" s="17" t="s">
        <v>78</v>
      </c>
      <c r="D811" s="17" t="s">
        <v>98</v>
      </c>
      <c r="E811" s="17" t="n">
        <v>2</v>
      </c>
      <c r="F811" s="18" t="n">
        <v>95</v>
      </c>
      <c r="G811" s="19" t="n">
        <v>0.05</v>
      </c>
      <c r="H811" s="18" t="n">
        <v>180.5</v>
      </c>
      <c r="I811" s="20"/>
    </row>
    <row r="812" customFormat="false" ht="15" hidden="false" customHeight="false" outlineLevel="0" collapsed="false">
      <c r="A812" s="16" t="n">
        <v>45906</v>
      </c>
      <c r="B812" s="17" t="s">
        <v>905</v>
      </c>
      <c r="C812" s="17" t="s">
        <v>70</v>
      </c>
      <c r="D812" s="17" t="s">
        <v>92</v>
      </c>
      <c r="E812" s="17" t="n">
        <v>17</v>
      </c>
      <c r="F812" s="18" t="n">
        <v>850</v>
      </c>
      <c r="G812" s="19" t="n">
        <v>0</v>
      </c>
      <c r="H812" s="18" t="n">
        <v>14450</v>
      </c>
      <c r="I812" s="20"/>
    </row>
    <row r="813" customFormat="false" ht="15" hidden="false" customHeight="false" outlineLevel="0" collapsed="false">
      <c r="A813" s="16" t="n">
        <v>45906</v>
      </c>
      <c r="B813" s="17" t="s">
        <v>906</v>
      </c>
      <c r="C813" s="17" t="s">
        <v>73</v>
      </c>
      <c r="D813" s="17" t="s">
        <v>98</v>
      </c>
      <c r="E813" s="17" t="n">
        <v>17</v>
      </c>
      <c r="F813" s="18" t="n">
        <v>1450</v>
      </c>
      <c r="G813" s="19" t="n">
        <v>0</v>
      </c>
      <c r="H813" s="18" t="n">
        <v>24650</v>
      </c>
      <c r="I813" s="20"/>
    </row>
    <row r="814" customFormat="false" ht="15" hidden="false" customHeight="false" outlineLevel="0" collapsed="false">
      <c r="A814" s="16" t="n">
        <v>45906</v>
      </c>
      <c r="B814" s="17" t="s">
        <v>907</v>
      </c>
      <c r="C814" s="17" t="s">
        <v>81</v>
      </c>
      <c r="D814" s="17" t="s">
        <v>92</v>
      </c>
      <c r="E814" s="17" t="n">
        <v>10</v>
      </c>
      <c r="F814" s="18" t="n">
        <v>60</v>
      </c>
      <c r="G814" s="19" t="n">
        <v>0.1</v>
      </c>
      <c r="H814" s="18" t="n">
        <v>540</v>
      </c>
      <c r="I814" s="20"/>
    </row>
    <row r="815" customFormat="false" ht="15" hidden="false" customHeight="false" outlineLevel="0" collapsed="false">
      <c r="A815" s="16" t="n">
        <v>45906</v>
      </c>
      <c r="B815" s="17" t="s">
        <v>908</v>
      </c>
      <c r="C815" s="17" t="s">
        <v>70</v>
      </c>
      <c r="D815" s="17" t="s">
        <v>92</v>
      </c>
      <c r="E815" s="17" t="n">
        <v>8</v>
      </c>
      <c r="F815" s="18" t="n">
        <v>850</v>
      </c>
      <c r="G815" s="19" t="n">
        <v>0</v>
      </c>
      <c r="H815" s="18" t="n">
        <v>6800</v>
      </c>
      <c r="I815" s="20"/>
    </row>
    <row r="816" customFormat="false" ht="15" hidden="false" customHeight="false" outlineLevel="0" collapsed="false">
      <c r="A816" s="16" t="n">
        <v>45906</v>
      </c>
      <c r="B816" s="17" t="s">
        <v>909</v>
      </c>
      <c r="C816" s="17" t="s">
        <v>70</v>
      </c>
      <c r="D816" s="17" t="s">
        <v>102</v>
      </c>
      <c r="E816" s="17" t="n">
        <v>16</v>
      </c>
      <c r="F816" s="18" t="n">
        <v>850</v>
      </c>
      <c r="G816" s="19" t="n">
        <v>0.05</v>
      </c>
      <c r="H816" s="18" t="n">
        <v>12920</v>
      </c>
      <c r="I816" s="20"/>
    </row>
    <row r="817" customFormat="false" ht="15" hidden="false" customHeight="false" outlineLevel="0" collapsed="false">
      <c r="A817" s="16" t="n">
        <v>45907</v>
      </c>
      <c r="B817" s="17" t="s">
        <v>910</v>
      </c>
      <c r="C817" s="17" t="s">
        <v>73</v>
      </c>
      <c r="D817" s="17" t="s">
        <v>102</v>
      </c>
      <c r="E817" s="17" t="n">
        <v>15</v>
      </c>
      <c r="F817" s="18" t="n">
        <v>1450</v>
      </c>
      <c r="G817" s="19" t="n">
        <v>0.1</v>
      </c>
      <c r="H817" s="18" t="n">
        <v>19575</v>
      </c>
      <c r="I817" s="20"/>
    </row>
    <row r="818" customFormat="false" ht="15" hidden="false" customHeight="false" outlineLevel="0" collapsed="false">
      <c r="A818" s="16" t="n">
        <v>45907</v>
      </c>
      <c r="B818" s="17" t="s">
        <v>911</v>
      </c>
      <c r="C818" s="17" t="s">
        <v>81</v>
      </c>
      <c r="D818" s="17" t="s">
        <v>96</v>
      </c>
      <c r="E818" s="17" t="n">
        <v>4</v>
      </c>
      <c r="F818" s="18" t="n">
        <v>60</v>
      </c>
      <c r="G818" s="19" t="n">
        <v>0</v>
      </c>
      <c r="H818" s="18" t="n">
        <v>240</v>
      </c>
      <c r="I818" s="20"/>
    </row>
    <row r="819" customFormat="false" ht="15" hidden="false" customHeight="false" outlineLevel="0" collapsed="false">
      <c r="A819" s="16" t="n">
        <v>45907</v>
      </c>
      <c r="B819" s="17" t="s">
        <v>912</v>
      </c>
      <c r="C819" s="17" t="s">
        <v>70</v>
      </c>
      <c r="D819" s="17" t="s">
        <v>102</v>
      </c>
      <c r="E819" s="17" t="n">
        <v>10</v>
      </c>
      <c r="F819" s="18" t="n">
        <v>850</v>
      </c>
      <c r="G819" s="19" t="n">
        <v>0</v>
      </c>
      <c r="H819" s="18" t="n">
        <v>8500</v>
      </c>
      <c r="I819" s="20"/>
    </row>
    <row r="820" customFormat="false" ht="15" hidden="false" customHeight="false" outlineLevel="0" collapsed="false">
      <c r="A820" s="16" t="n">
        <v>45907</v>
      </c>
      <c r="B820" s="17" t="s">
        <v>913</v>
      </c>
      <c r="C820" s="17" t="s">
        <v>73</v>
      </c>
      <c r="D820" s="17" t="s">
        <v>102</v>
      </c>
      <c r="E820" s="17" t="n">
        <v>3</v>
      </c>
      <c r="F820" s="18" t="n">
        <v>1450</v>
      </c>
      <c r="G820" s="19" t="n">
        <v>0</v>
      </c>
      <c r="H820" s="18" t="n">
        <v>4350</v>
      </c>
      <c r="I820" s="20"/>
    </row>
    <row r="821" customFormat="false" ht="15" hidden="false" customHeight="false" outlineLevel="0" collapsed="false">
      <c r="A821" s="16" t="n">
        <v>45907</v>
      </c>
      <c r="B821" s="17" t="s">
        <v>914</v>
      </c>
      <c r="C821" s="17" t="s">
        <v>75</v>
      </c>
      <c r="D821" s="17" t="s">
        <v>96</v>
      </c>
      <c r="E821" s="17" t="n">
        <v>8</v>
      </c>
      <c r="F821" s="18" t="n">
        <v>120</v>
      </c>
      <c r="G821" s="19" t="n">
        <v>0</v>
      </c>
      <c r="H821" s="18" t="n">
        <v>960</v>
      </c>
      <c r="I821" s="20"/>
    </row>
    <row r="822" customFormat="false" ht="15" hidden="false" customHeight="false" outlineLevel="0" collapsed="false">
      <c r="A822" s="16" t="n">
        <v>45907</v>
      </c>
      <c r="B822" s="17" t="s">
        <v>915</v>
      </c>
      <c r="C822" s="17" t="s">
        <v>81</v>
      </c>
      <c r="D822" s="17" t="s">
        <v>92</v>
      </c>
      <c r="E822" s="17" t="n">
        <v>4</v>
      </c>
      <c r="F822" s="18" t="n">
        <v>60</v>
      </c>
      <c r="G822" s="19" t="n">
        <v>0</v>
      </c>
      <c r="H822" s="18" t="n">
        <v>240</v>
      </c>
      <c r="I822" s="20"/>
    </row>
    <row r="823" customFormat="false" ht="15" hidden="false" customHeight="false" outlineLevel="0" collapsed="false">
      <c r="A823" s="16" t="n">
        <v>45908</v>
      </c>
      <c r="B823" s="17" t="s">
        <v>916</v>
      </c>
      <c r="C823" s="17" t="s">
        <v>75</v>
      </c>
      <c r="D823" s="17" t="s">
        <v>96</v>
      </c>
      <c r="E823" s="17" t="n">
        <v>15</v>
      </c>
      <c r="F823" s="18" t="n">
        <v>120</v>
      </c>
      <c r="G823" s="19" t="n">
        <v>0.05</v>
      </c>
      <c r="H823" s="18" t="n">
        <v>1710</v>
      </c>
      <c r="I823" s="20"/>
    </row>
    <row r="824" customFormat="false" ht="15" hidden="false" customHeight="false" outlineLevel="0" collapsed="false">
      <c r="A824" s="16" t="n">
        <v>45908</v>
      </c>
      <c r="B824" s="17" t="s">
        <v>917</v>
      </c>
      <c r="C824" s="17" t="s">
        <v>81</v>
      </c>
      <c r="D824" s="17" t="s">
        <v>98</v>
      </c>
      <c r="E824" s="17" t="n">
        <v>19</v>
      </c>
      <c r="F824" s="18" t="n">
        <v>60</v>
      </c>
      <c r="G824" s="19" t="n">
        <v>0</v>
      </c>
      <c r="H824" s="18" t="n">
        <v>1140</v>
      </c>
      <c r="I824" s="20"/>
    </row>
    <row r="825" customFormat="false" ht="15" hidden="false" customHeight="false" outlineLevel="0" collapsed="false">
      <c r="A825" s="16" t="n">
        <v>45908</v>
      </c>
      <c r="B825" s="17" t="s">
        <v>918</v>
      </c>
      <c r="C825" s="17" t="s">
        <v>81</v>
      </c>
      <c r="D825" s="17" t="s">
        <v>98</v>
      </c>
      <c r="E825" s="17" t="n">
        <v>4</v>
      </c>
      <c r="F825" s="18" t="n">
        <v>60</v>
      </c>
      <c r="G825" s="19" t="n">
        <v>0</v>
      </c>
      <c r="H825" s="18" t="n">
        <v>240</v>
      </c>
      <c r="I825" s="20"/>
    </row>
    <row r="826" customFormat="false" ht="15" hidden="false" customHeight="false" outlineLevel="0" collapsed="false">
      <c r="A826" s="16" t="n">
        <v>45909</v>
      </c>
      <c r="B826" s="17" t="s">
        <v>919</v>
      </c>
      <c r="C826" s="17" t="s">
        <v>81</v>
      </c>
      <c r="D826" s="17" t="s">
        <v>92</v>
      </c>
      <c r="E826" s="17" t="n">
        <v>20</v>
      </c>
      <c r="F826" s="18" t="n">
        <v>60</v>
      </c>
      <c r="G826" s="19" t="n">
        <v>0.1</v>
      </c>
      <c r="H826" s="18" t="n">
        <v>1080</v>
      </c>
      <c r="I826" s="20"/>
    </row>
    <row r="827" customFormat="false" ht="15" hidden="false" customHeight="false" outlineLevel="0" collapsed="false">
      <c r="A827" s="16" t="n">
        <v>45909</v>
      </c>
      <c r="B827" s="17" t="s">
        <v>920</v>
      </c>
      <c r="C827" s="17" t="s">
        <v>70</v>
      </c>
      <c r="D827" s="17" t="s">
        <v>98</v>
      </c>
      <c r="E827" s="17" t="n">
        <v>20</v>
      </c>
      <c r="F827" s="18" t="n">
        <v>850</v>
      </c>
      <c r="G827" s="19" t="n">
        <v>0</v>
      </c>
      <c r="H827" s="18" t="n">
        <v>17000</v>
      </c>
      <c r="I827" s="20"/>
    </row>
    <row r="828" customFormat="false" ht="15" hidden="false" customHeight="false" outlineLevel="0" collapsed="false">
      <c r="A828" s="16" t="n">
        <v>45909</v>
      </c>
      <c r="B828" s="17" t="s">
        <v>921</v>
      </c>
      <c r="C828" s="17" t="s">
        <v>73</v>
      </c>
      <c r="D828" s="17" t="s">
        <v>98</v>
      </c>
      <c r="E828" s="17" t="n">
        <v>9</v>
      </c>
      <c r="F828" s="18" t="n">
        <v>1450</v>
      </c>
      <c r="G828" s="19" t="n">
        <v>0</v>
      </c>
      <c r="H828" s="18" t="n">
        <v>13050</v>
      </c>
      <c r="I828" s="20"/>
    </row>
    <row r="829" customFormat="false" ht="15" hidden="false" customHeight="false" outlineLevel="0" collapsed="false">
      <c r="A829" s="16" t="n">
        <v>45909</v>
      </c>
      <c r="B829" s="17" t="s">
        <v>922</v>
      </c>
      <c r="C829" s="17" t="s">
        <v>75</v>
      </c>
      <c r="D829" s="17" t="s">
        <v>98</v>
      </c>
      <c r="E829" s="17" t="n">
        <v>13</v>
      </c>
      <c r="F829" s="18" t="n">
        <v>120</v>
      </c>
      <c r="G829" s="19" t="n">
        <v>0</v>
      </c>
      <c r="H829" s="18" t="n">
        <v>1560</v>
      </c>
      <c r="I829" s="20"/>
    </row>
    <row r="830" customFormat="false" ht="15" hidden="false" customHeight="false" outlineLevel="0" collapsed="false">
      <c r="A830" s="16" t="n">
        <v>45909</v>
      </c>
      <c r="B830" s="17" t="s">
        <v>923</v>
      </c>
      <c r="C830" s="17" t="s">
        <v>75</v>
      </c>
      <c r="D830" s="17" t="s">
        <v>98</v>
      </c>
      <c r="E830" s="17" t="n">
        <v>7</v>
      </c>
      <c r="F830" s="18" t="n">
        <v>120</v>
      </c>
      <c r="G830" s="19" t="n">
        <v>0</v>
      </c>
      <c r="H830" s="18" t="n">
        <v>840</v>
      </c>
      <c r="I830" s="20"/>
    </row>
    <row r="831" customFormat="false" ht="15" hidden="false" customHeight="false" outlineLevel="0" collapsed="false">
      <c r="A831" s="16" t="n">
        <v>45910</v>
      </c>
      <c r="B831" s="17" t="s">
        <v>924</v>
      </c>
      <c r="C831" s="17" t="s">
        <v>70</v>
      </c>
      <c r="D831" s="17" t="s">
        <v>98</v>
      </c>
      <c r="E831" s="17" t="n">
        <v>17</v>
      </c>
      <c r="F831" s="18" t="n">
        <v>850</v>
      </c>
      <c r="G831" s="19" t="n">
        <v>0.05</v>
      </c>
      <c r="H831" s="18" t="n">
        <v>13727.5</v>
      </c>
      <c r="I831" s="20"/>
    </row>
    <row r="832" customFormat="false" ht="15" hidden="false" customHeight="false" outlineLevel="0" collapsed="false">
      <c r="A832" s="16" t="n">
        <v>45911</v>
      </c>
      <c r="B832" s="17" t="s">
        <v>925</v>
      </c>
      <c r="C832" s="17" t="s">
        <v>81</v>
      </c>
      <c r="D832" s="17" t="s">
        <v>102</v>
      </c>
      <c r="E832" s="17" t="n">
        <v>18</v>
      </c>
      <c r="F832" s="18" t="n">
        <v>60</v>
      </c>
      <c r="G832" s="19" t="n">
        <v>0.05</v>
      </c>
      <c r="H832" s="18" t="n">
        <v>1026</v>
      </c>
      <c r="I832" s="20"/>
    </row>
    <row r="833" customFormat="false" ht="15" hidden="false" customHeight="false" outlineLevel="0" collapsed="false">
      <c r="A833" s="16" t="n">
        <v>45911</v>
      </c>
      <c r="B833" s="17" t="s">
        <v>926</v>
      </c>
      <c r="C833" s="17" t="s">
        <v>78</v>
      </c>
      <c r="D833" s="17" t="s">
        <v>102</v>
      </c>
      <c r="E833" s="17" t="n">
        <v>11</v>
      </c>
      <c r="F833" s="18" t="n">
        <v>95</v>
      </c>
      <c r="G833" s="19" t="n">
        <v>0</v>
      </c>
      <c r="H833" s="18" t="n">
        <v>1045</v>
      </c>
      <c r="I833" s="20"/>
    </row>
    <row r="834" customFormat="false" ht="15" hidden="false" customHeight="false" outlineLevel="0" collapsed="false">
      <c r="A834" s="16" t="n">
        <v>45911</v>
      </c>
      <c r="B834" s="17" t="s">
        <v>927</v>
      </c>
      <c r="C834" s="17" t="s">
        <v>73</v>
      </c>
      <c r="D834" s="17" t="s">
        <v>92</v>
      </c>
      <c r="E834" s="17" t="n">
        <v>4</v>
      </c>
      <c r="F834" s="18" t="n">
        <v>1450</v>
      </c>
      <c r="G834" s="19" t="n">
        <v>0</v>
      </c>
      <c r="H834" s="18" t="n">
        <v>5800</v>
      </c>
      <c r="I834" s="20"/>
    </row>
    <row r="835" customFormat="false" ht="15" hidden="false" customHeight="false" outlineLevel="0" collapsed="false">
      <c r="A835" s="16" t="n">
        <v>45911</v>
      </c>
      <c r="B835" s="17" t="s">
        <v>928</v>
      </c>
      <c r="C835" s="17" t="s">
        <v>78</v>
      </c>
      <c r="D835" s="17" t="s">
        <v>98</v>
      </c>
      <c r="E835" s="17" t="n">
        <v>11</v>
      </c>
      <c r="F835" s="18" t="n">
        <v>95</v>
      </c>
      <c r="G835" s="19" t="n">
        <v>0</v>
      </c>
      <c r="H835" s="18" t="n">
        <v>1045</v>
      </c>
      <c r="I835" s="20"/>
    </row>
    <row r="836" customFormat="false" ht="15" hidden="false" customHeight="false" outlineLevel="0" collapsed="false">
      <c r="A836" s="16" t="n">
        <v>45912</v>
      </c>
      <c r="B836" s="17" t="s">
        <v>929</v>
      </c>
      <c r="C836" s="17" t="s">
        <v>81</v>
      </c>
      <c r="D836" s="17" t="s">
        <v>102</v>
      </c>
      <c r="E836" s="17" t="n">
        <v>6</v>
      </c>
      <c r="F836" s="18" t="n">
        <v>60</v>
      </c>
      <c r="G836" s="19" t="n">
        <v>0.1</v>
      </c>
      <c r="H836" s="18" t="n">
        <v>324</v>
      </c>
      <c r="I836" s="20"/>
    </row>
    <row r="837" customFormat="false" ht="15" hidden="false" customHeight="false" outlineLevel="0" collapsed="false">
      <c r="A837" s="16" t="n">
        <v>45912</v>
      </c>
      <c r="B837" s="17" t="s">
        <v>930</v>
      </c>
      <c r="C837" s="17" t="s">
        <v>75</v>
      </c>
      <c r="D837" s="17" t="s">
        <v>98</v>
      </c>
      <c r="E837" s="17" t="n">
        <v>8</v>
      </c>
      <c r="F837" s="18" t="n">
        <v>120</v>
      </c>
      <c r="G837" s="19" t="n">
        <v>0</v>
      </c>
      <c r="H837" s="18" t="n">
        <v>960</v>
      </c>
      <c r="I837" s="20"/>
    </row>
    <row r="838" customFormat="false" ht="15" hidden="false" customHeight="false" outlineLevel="0" collapsed="false">
      <c r="A838" s="16" t="n">
        <v>45912</v>
      </c>
      <c r="B838" s="17" t="s">
        <v>931</v>
      </c>
      <c r="C838" s="17" t="s">
        <v>70</v>
      </c>
      <c r="D838" s="17" t="s">
        <v>98</v>
      </c>
      <c r="E838" s="17" t="n">
        <v>18</v>
      </c>
      <c r="F838" s="18" t="n">
        <v>850</v>
      </c>
      <c r="G838" s="19" t="n">
        <v>0.05</v>
      </c>
      <c r="H838" s="18" t="n">
        <v>14535</v>
      </c>
      <c r="I838" s="20"/>
    </row>
    <row r="839" customFormat="false" ht="15" hidden="false" customHeight="false" outlineLevel="0" collapsed="false">
      <c r="A839" s="16" t="n">
        <v>45913</v>
      </c>
      <c r="B839" s="17" t="s">
        <v>932</v>
      </c>
      <c r="C839" s="17" t="s">
        <v>70</v>
      </c>
      <c r="D839" s="17" t="s">
        <v>96</v>
      </c>
      <c r="E839" s="17" t="n">
        <v>10</v>
      </c>
      <c r="F839" s="18" t="n">
        <v>850</v>
      </c>
      <c r="G839" s="19" t="n">
        <v>0.1</v>
      </c>
      <c r="H839" s="18" t="n">
        <v>7650</v>
      </c>
      <c r="I839" s="20"/>
    </row>
    <row r="840" customFormat="false" ht="15" hidden="false" customHeight="false" outlineLevel="0" collapsed="false">
      <c r="A840" s="16" t="n">
        <v>45913</v>
      </c>
      <c r="B840" s="17" t="s">
        <v>933</v>
      </c>
      <c r="C840" s="17" t="s">
        <v>70</v>
      </c>
      <c r="D840" s="17" t="s">
        <v>102</v>
      </c>
      <c r="E840" s="17" t="n">
        <v>14</v>
      </c>
      <c r="F840" s="18" t="n">
        <v>850</v>
      </c>
      <c r="G840" s="19" t="n">
        <v>0</v>
      </c>
      <c r="H840" s="18" t="n">
        <v>11900</v>
      </c>
      <c r="I840" s="20"/>
    </row>
    <row r="841" customFormat="false" ht="15" hidden="false" customHeight="false" outlineLevel="0" collapsed="false">
      <c r="A841" s="16" t="n">
        <v>45913</v>
      </c>
      <c r="B841" s="17" t="s">
        <v>934</v>
      </c>
      <c r="C841" s="17" t="s">
        <v>73</v>
      </c>
      <c r="D841" s="17" t="s">
        <v>96</v>
      </c>
      <c r="E841" s="17" t="n">
        <v>7</v>
      </c>
      <c r="F841" s="18" t="n">
        <v>1450</v>
      </c>
      <c r="G841" s="19" t="n">
        <v>0.05</v>
      </c>
      <c r="H841" s="18" t="n">
        <v>9642.5</v>
      </c>
      <c r="I841" s="20"/>
    </row>
    <row r="842" customFormat="false" ht="15" hidden="false" customHeight="false" outlineLevel="0" collapsed="false">
      <c r="A842" s="16" t="n">
        <v>45913</v>
      </c>
      <c r="B842" s="17" t="s">
        <v>935</v>
      </c>
      <c r="C842" s="17" t="s">
        <v>78</v>
      </c>
      <c r="D842" s="17" t="s">
        <v>96</v>
      </c>
      <c r="E842" s="17" t="n">
        <v>16</v>
      </c>
      <c r="F842" s="18" t="n">
        <v>95</v>
      </c>
      <c r="G842" s="19" t="n">
        <v>0.05</v>
      </c>
      <c r="H842" s="18" t="n">
        <v>1444</v>
      </c>
      <c r="I842" s="20"/>
    </row>
    <row r="843" customFormat="false" ht="15" hidden="false" customHeight="false" outlineLevel="0" collapsed="false">
      <c r="A843" s="16" t="n">
        <v>45914</v>
      </c>
      <c r="B843" s="17" t="s">
        <v>936</v>
      </c>
      <c r="C843" s="17" t="s">
        <v>73</v>
      </c>
      <c r="D843" s="17" t="s">
        <v>92</v>
      </c>
      <c r="E843" s="17" t="n">
        <v>3</v>
      </c>
      <c r="F843" s="18" t="n">
        <v>1450</v>
      </c>
      <c r="G843" s="19" t="n">
        <v>0</v>
      </c>
      <c r="H843" s="18" t="n">
        <v>4350</v>
      </c>
      <c r="I843" s="20"/>
    </row>
    <row r="844" customFormat="false" ht="15" hidden="false" customHeight="false" outlineLevel="0" collapsed="false">
      <c r="A844" s="16" t="n">
        <v>45914</v>
      </c>
      <c r="B844" s="17" t="s">
        <v>937</v>
      </c>
      <c r="C844" s="17" t="s">
        <v>73</v>
      </c>
      <c r="D844" s="17" t="s">
        <v>92</v>
      </c>
      <c r="E844" s="17" t="n">
        <v>16</v>
      </c>
      <c r="F844" s="18" t="n">
        <v>1450</v>
      </c>
      <c r="G844" s="19" t="n">
        <v>0</v>
      </c>
      <c r="H844" s="18" t="n">
        <v>23200</v>
      </c>
      <c r="I844" s="20"/>
    </row>
    <row r="845" customFormat="false" ht="15" hidden="false" customHeight="false" outlineLevel="0" collapsed="false">
      <c r="A845" s="16" t="n">
        <v>45914</v>
      </c>
      <c r="B845" s="17" t="s">
        <v>938</v>
      </c>
      <c r="C845" s="17" t="s">
        <v>75</v>
      </c>
      <c r="D845" s="17" t="s">
        <v>98</v>
      </c>
      <c r="E845" s="17" t="n">
        <v>4</v>
      </c>
      <c r="F845" s="18" t="n">
        <v>120</v>
      </c>
      <c r="G845" s="19" t="n">
        <v>0</v>
      </c>
      <c r="H845" s="18" t="n">
        <v>480</v>
      </c>
      <c r="I845" s="20"/>
    </row>
    <row r="846" customFormat="false" ht="15" hidden="false" customHeight="false" outlineLevel="0" collapsed="false">
      <c r="A846" s="16" t="n">
        <v>45914</v>
      </c>
      <c r="B846" s="17" t="s">
        <v>939</v>
      </c>
      <c r="C846" s="17" t="s">
        <v>75</v>
      </c>
      <c r="D846" s="17" t="s">
        <v>102</v>
      </c>
      <c r="E846" s="17" t="n">
        <v>8</v>
      </c>
      <c r="F846" s="18" t="n">
        <v>120</v>
      </c>
      <c r="G846" s="19" t="n">
        <v>0.05</v>
      </c>
      <c r="H846" s="18" t="n">
        <v>912</v>
      </c>
      <c r="I846" s="20"/>
    </row>
    <row r="847" customFormat="false" ht="15" hidden="false" customHeight="false" outlineLevel="0" collapsed="false">
      <c r="A847" s="16" t="n">
        <v>45915</v>
      </c>
      <c r="B847" s="17" t="s">
        <v>940</v>
      </c>
      <c r="C847" s="17" t="s">
        <v>73</v>
      </c>
      <c r="D847" s="17" t="s">
        <v>96</v>
      </c>
      <c r="E847" s="17" t="n">
        <v>1</v>
      </c>
      <c r="F847" s="18" t="n">
        <v>1450</v>
      </c>
      <c r="G847" s="19" t="n">
        <v>0</v>
      </c>
      <c r="H847" s="18" t="n">
        <v>1450</v>
      </c>
      <c r="I847" s="20"/>
    </row>
    <row r="848" customFormat="false" ht="15" hidden="false" customHeight="false" outlineLevel="0" collapsed="false">
      <c r="A848" s="16" t="n">
        <v>45915</v>
      </c>
      <c r="B848" s="17" t="s">
        <v>941</v>
      </c>
      <c r="C848" s="17" t="s">
        <v>81</v>
      </c>
      <c r="D848" s="17" t="s">
        <v>102</v>
      </c>
      <c r="E848" s="17" t="n">
        <v>2</v>
      </c>
      <c r="F848" s="18" t="n">
        <v>60</v>
      </c>
      <c r="G848" s="19" t="n">
        <v>0.1</v>
      </c>
      <c r="H848" s="18" t="n">
        <v>108</v>
      </c>
      <c r="I848" s="20"/>
    </row>
    <row r="849" customFormat="false" ht="15" hidden="false" customHeight="false" outlineLevel="0" collapsed="false">
      <c r="A849" s="16" t="n">
        <v>45915</v>
      </c>
      <c r="B849" s="17" t="s">
        <v>942</v>
      </c>
      <c r="C849" s="17" t="s">
        <v>73</v>
      </c>
      <c r="D849" s="17" t="s">
        <v>96</v>
      </c>
      <c r="E849" s="17" t="n">
        <v>8</v>
      </c>
      <c r="F849" s="18" t="n">
        <v>1450</v>
      </c>
      <c r="G849" s="19" t="n">
        <v>0</v>
      </c>
      <c r="H849" s="18" t="n">
        <v>11600</v>
      </c>
      <c r="I849" s="20"/>
    </row>
    <row r="850" customFormat="false" ht="15" hidden="false" customHeight="false" outlineLevel="0" collapsed="false">
      <c r="A850" s="16" t="n">
        <v>45916</v>
      </c>
      <c r="B850" s="17" t="s">
        <v>943</v>
      </c>
      <c r="C850" s="17" t="s">
        <v>70</v>
      </c>
      <c r="D850" s="17" t="s">
        <v>102</v>
      </c>
      <c r="E850" s="17" t="n">
        <v>18</v>
      </c>
      <c r="F850" s="18" t="n">
        <v>850</v>
      </c>
      <c r="G850" s="19" t="n">
        <v>0.05</v>
      </c>
      <c r="H850" s="18" t="n">
        <v>14535</v>
      </c>
      <c r="I850" s="20"/>
    </row>
    <row r="851" customFormat="false" ht="15" hidden="false" customHeight="false" outlineLevel="0" collapsed="false">
      <c r="A851" s="16" t="n">
        <v>45916</v>
      </c>
      <c r="B851" s="17" t="s">
        <v>944</v>
      </c>
      <c r="C851" s="17" t="s">
        <v>73</v>
      </c>
      <c r="D851" s="17" t="s">
        <v>92</v>
      </c>
      <c r="E851" s="17" t="n">
        <v>9</v>
      </c>
      <c r="F851" s="18" t="n">
        <v>1450</v>
      </c>
      <c r="G851" s="19" t="n">
        <v>0.1</v>
      </c>
      <c r="H851" s="18" t="n">
        <v>11745</v>
      </c>
      <c r="I851" s="20"/>
    </row>
    <row r="852" customFormat="false" ht="15" hidden="false" customHeight="false" outlineLevel="0" collapsed="false">
      <c r="A852" s="16" t="n">
        <v>45916</v>
      </c>
      <c r="B852" s="17" t="s">
        <v>945</v>
      </c>
      <c r="C852" s="17" t="s">
        <v>73</v>
      </c>
      <c r="D852" s="17" t="s">
        <v>98</v>
      </c>
      <c r="E852" s="17" t="n">
        <v>9</v>
      </c>
      <c r="F852" s="18" t="n">
        <v>1450</v>
      </c>
      <c r="G852" s="19" t="n">
        <v>0</v>
      </c>
      <c r="H852" s="18" t="n">
        <v>13050</v>
      </c>
      <c r="I852" s="20"/>
    </row>
    <row r="853" customFormat="false" ht="15" hidden="false" customHeight="false" outlineLevel="0" collapsed="false">
      <c r="A853" s="16" t="n">
        <v>45916</v>
      </c>
      <c r="B853" s="17" t="s">
        <v>946</v>
      </c>
      <c r="C853" s="17" t="s">
        <v>70</v>
      </c>
      <c r="D853" s="17" t="s">
        <v>102</v>
      </c>
      <c r="E853" s="17" t="n">
        <v>8</v>
      </c>
      <c r="F853" s="18" t="n">
        <v>850</v>
      </c>
      <c r="G853" s="19" t="n">
        <v>0.05</v>
      </c>
      <c r="H853" s="18" t="n">
        <v>6460</v>
      </c>
      <c r="I853" s="20"/>
    </row>
    <row r="854" customFormat="false" ht="15" hidden="false" customHeight="false" outlineLevel="0" collapsed="false">
      <c r="A854" s="16" t="n">
        <v>45916</v>
      </c>
      <c r="B854" s="17" t="s">
        <v>947</v>
      </c>
      <c r="C854" s="17" t="s">
        <v>73</v>
      </c>
      <c r="D854" s="17" t="s">
        <v>98</v>
      </c>
      <c r="E854" s="17" t="n">
        <v>20</v>
      </c>
      <c r="F854" s="18" t="n">
        <v>1450</v>
      </c>
      <c r="G854" s="19" t="n">
        <v>0</v>
      </c>
      <c r="H854" s="18" t="n">
        <v>29000</v>
      </c>
      <c r="I854" s="20"/>
    </row>
    <row r="855" customFormat="false" ht="15" hidden="false" customHeight="false" outlineLevel="0" collapsed="false">
      <c r="A855" s="16" t="n">
        <v>45916</v>
      </c>
      <c r="B855" s="17" t="s">
        <v>948</v>
      </c>
      <c r="C855" s="17" t="s">
        <v>70</v>
      </c>
      <c r="D855" s="17" t="s">
        <v>92</v>
      </c>
      <c r="E855" s="17" t="n">
        <v>11</v>
      </c>
      <c r="F855" s="18" t="n">
        <v>850</v>
      </c>
      <c r="G855" s="19" t="n">
        <v>0</v>
      </c>
      <c r="H855" s="18" t="n">
        <v>9350</v>
      </c>
      <c r="I855" s="20"/>
    </row>
    <row r="856" customFormat="false" ht="15" hidden="false" customHeight="false" outlineLevel="0" collapsed="false">
      <c r="A856" s="16" t="n">
        <v>45916</v>
      </c>
      <c r="B856" s="17" t="s">
        <v>949</v>
      </c>
      <c r="C856" s="17" t="s">
        <v>78</v>
      </c>
      <c r="D856" s="17" t="s">
        <v>102</v>
      </c>
      <c r="E856" s="17" t="n">
        <v>3</v>
      </c>
      <c r="F856" s="18" t="n">
        <v>95</v>
      </c>
      <c r="G856" s="19" t="n">
        <v>0</v>
      </c>
      <c r="H856" s="18" t="n">
        <v>285</v>
      </c>
      <c r="I856" s="20"/>
    </row>
    <row r="857" customFormat="false" ht="15" hidden="false" customHeight="false" outlineLevel="0" collapsed="false">
      <c r="A857" s="16" t="n">
        <v>45917</v>
      </c>
      <c r="B857" s="17" t="s">
        <v>950</v>
      </c>
      <c r="C857" s="17" t="s">
        <v>78</v>
      </c>
      <c r="D857" s="17" t="s">
        <v>102</v>
      </c>
      <c r="E857" s="17" t="n">
        <v>3</v>
      </c>
      <c r="F857" s="18" t="n">
        <v>95</v>
      </c>
      <c r="G857" s="19" t="n">
        <v>0</v>
      </c>
      <c r="H857" s="18" t="n">
        <v>285</v>
      </c>
      <c r="I857" s="20"/>
    </row>
    <row r="858" customFormat="false" ht="15" hidden="false" customHeight="false" outlineLevel="0" collapsed="false">
      <c r="A858" s="16" t="n">
        <v>45917</v>
      </c>
      <c r="B858" s="17" t="s">
        <v>951</v>
      </c>
      <c r="C858" s="17" t="s">
        <v>70</v>
      </c>
      <c r="D858" s="17" t="s">
        <v>96</v>
      </c>
      <c r="E858" s="17" t="n">
        <v>15</v>
      </c>
      <c r="F858" s="18" t="n">
        <v>850</v>
      </c>
      <c r="G858" s="19" t="n">
        <v>0</v>
      </c>
      <c r="H858" s="18" t="n">
        <v>12750</v>
      </c>
      <c r="I858" s="20"/>
    </row>
    <row r="859" customFormat="false" ht="15" hidden="false" customHeight="false" outlineLevel="0" collapsed="false">
      <c r="A859" s="16" t="n">
        <v>45917</v>
      </c>
      <c r="B859" s="17" t="s">
        <v>952</v>
      </c>
      <c r="C859" s="17" t="s">
        <v>73</v>
      </c>
      <c r="D859" s="17" t="s">
        <v>102</v>
      </c>
      <c r="E859" s="17" t="n">
        <v>16</v>
      </c>
      <c r="F859" s="18" t="n">
        <v>1450</v>
      </c>
      <c r="G859" s="19" t="n">
        <v>0.05</v>
      </c>
      <c r="H859" s="18" t="n">
        <v>22040</v>
      </c>
      <c r="I859" s="20"/>
    </row>
    <row r="860" customFormat="false" ht="15" hidden="false" customHeight="false" outlineLevel="0" collapsed="false">
      <c r="A860" s="16" t="n">
        <v>45918</v>
      </c>
      <c r="B860" s="17" t="s">
        <v>953</v>
      </c>
      <c r="C860" s="17" t="s">
        <v>75</v>
      </c>
      <c r="D860" s="17" t="s">
        <v>102</v>
      </c>
      <c r="E860" s="17" t="n">
        <v>13</v>
      </c>
      <c r="F860" s="18" t="n">
        <v>120</v>
      </c>
      <c r="G860" s="19" t="n">
        <v>0</v>
      </c>
      <c r="H860" s="18" t="n">
        <v>1560</v>
      </c>
      <c r="I860" s="20"/>
    </row>
    <row r="861" customFormat="false" ht="15" hidden="false" customHeight="false" outlineLevel="0" collapsed="false">
      <c r="A861" s="16" t="n">
        <v>45918</v>
      </c>
      <c r="B861" s="17" t="s">
        <v>954</v>
      </c>
      <c r="C861" s="17" t="s">
        <v>70</v>
      </c>
      <c r="D861" s="17" t="s">
        <v>92</v>
      </c>
      <c r="E861" s="17" t="n">
        <v>20</v>
      </c>
      <c r="F861" s="18" t="n">
        <v>850</v>
      </c>
      <c r="G861" s="19" t="n">
        <v>0</v>
      </c>
      <c r="H861" s="18" t="n">
        <v>17000</v>
      </c>
      <c r="I861" s="20"/>
    </row>
    <row r="862" customFormat="false" ht="15" hidden="false" customHeight="false" outlineLevel="0" collapsed="false">
      <c r="A862" s="16" t="n">
        <v>45918</v>
      </c>
      <c r="B862" s="17" t="s">
        <v>955</v>
      </c>
      <c r="C862" s="17" t="s">
        <v>73</v>
      </c>
      <c r="D862" s="17" t="s">
        <v>102</v>
      </c>
      <c r="E862" s="17" t="n">
        <v>4</v>
      </c>
      <c r="F862" s="18" t="n">
        <v>1450</v>
      </c>
      <c r="G862" s="19" t="n">
        <v>0</v>
      </c>
      <c r="H862" s="18" t="n">
        <v>5800</v>
      </c>
      <c r="I862" s="20"/>
    </row>
    <row r="863" customFormat="false" ht="15" hidden="false" customHeight="false" outlineLevel="0" collapsed="false">
      <c r="A863" s="16" t="n">
        <v>45919</v>
      </c>
      <c r="B863" s="17" t="s">
        <v>956</v>
      </c>
      <c r="C863" s="17" t="s">
        <v>70</v>
      </c>
      <c r="D863" s="17" t="s">
        <v>96</v>
      </c>
      <c r="E863" s="17" t="n">
        <v>8</v>
      </c>
      <c r="F863" s="18" t="n">
        <v>850</v>
      </c>
      <c r="G863" s="19" t="n">
        <v>0</v>
      </c>
      <c r="H863" s="18" t="n">
        <v>6800</v>
      </c>
      <c r="I863" s="20"/>
    </row>
    <row r="864" customFormat="false" ht="15" hidden="false" customHeight="false" outlineLevel="0" collapsed="false">
      <c r="A864" s="16" t="n">
        <v>45919</v>
      </c>
      <c r="B864" s="17" t="s">
        <v>957</v>
      </c>
      <c r="C864" s="17" t="s">
        <v>75</v>
      </c>
      <c r="D864" s="17" t="s">
        <v>98</v>
      </c>
      <c r="E864" s="17" t="n">
        <v>8</v>
      </c>
      <c r="F864" s="18" t="n">
        <v>120</v>
      </c>
      <c r="G864" s="19" t="n">
        <v>0</v>
      </c>
      <c r="H864" s="18" t="n">
        <v>960</v>
      </c>
      <c r="I864" s="20"/>
    </row>
    <row r="865" customFormat="false" ht="15" hidden="false" customHeight="false" outlineLevel="0" collapsed="false">
      <c r="A865" s="16" t="n">
        <v>45920</v>
      </c>
      <c r="B865" s="17" t="s">
        <v>958</v>
      </c>
      <c r="C865" s="17" t="s">
        <v>78</v>
      </c>
      <c r="D865" s="17" t="s">
        <v>92</v>
      </c>
      <c r="E865" s="17" t="n">
        <v>19</v>
      </c>
      <c r="F865" s="18" t="n">
        <v>95</v>
      </c>
      <c r="G865" s="19" t="n">
        <v>0</v>
      </c>
      <c r="H865" s="18" t="n">
        <v>1805</v>
      </c>
      <c r="I865" s="20"/>
    </row>
    <row r="866" customFormat="false" ht="15" hidden="false" customHeight="false" outlineLevel="0" collapsed="false">
      <c r="A866" s="16" t="n">
        <v>45920</v>
      </c>
      <c r="B866" s="17" t="s">
        <v>959</v>
      </c>
      <c r="C866" s="17" t="s">
        <v>81</v>
      </c>
      <c r="D866" s="17" t="s">
        <v>96</v>
      </c>
      <c r="E866" s="17" t="n">
        <v>20</v>
      </c>
      <c r="F866" s="18" t="n">
        <v>60</v>
      </c>
      <c r="G866" s="19" t="n">
        <v>0.05</v>
      </c>
      <c r="H866" s="18" t="n">
        <v>1140</v>
      </c>
      <c r="I866" s="20"/>
    </row>
    <row r="867" customFormat="false" ht="15" hidden="false" customHeight="false" outlineLevel="0" collapsed="false">
      <c r="A867" s="16" t="n">
        <v>45920</v>
      </c>
      <c r="B867" s="17" t="s">
        <v>960</v>
      </c>
      <c r="C867" s="17" t="s">
        <v>73</v>
      </c>
      <c r="D867" s="17" t="s">
        <v>92</v>
      </c>
      <c r="E867" s="17" t="n">
        <v>12</v>
      </c>
      <c r="F867" s="18" t="n">
        <v>1450</v>
      </c>
      <c r="G867" s="19" t="n">
        <v>0.05</v>
      </c>
      <c r="H867" s="18" t="n">
        <v>16530</v>
      </c>
      <c r="I867" s="20"/>
    </row>
    <row r="868" customFormat="false" ht="15" hidden="false" customHeight="false" outlineLevel="0" collapsed="false">
      <c r="A868" s="16" t="n">
        <v>45920</v>
      </c>
      <c r="B868" s="17" t="s">
        <v>961</v>
      </c>
      <c r="C868" s="17" t="s">
        <v>81</v>
      </c>
      <c r="D868" s="17" t="s">
        <v>102</v>
      </c>
      <c r="E868" s="17" t="n">
        <v>1</v>
      </c>
      <c r="F868" s="18" t="n">
        <v>60</v>
      </c>
      <c r="G868" s="19" t="n">
        <v>0.1</v>
      </c>
      <c r="H868" s="18" t="n">
        <v>54</v>
      </c>
      <c r="I868" s="20"/>
    </row>
    <row r="869" customFormat="false" ht="15" hidden="false" customHeight="false" outlineLevel="0" collapsed="false">
      <c r="A869" s="16" t="n">
        <v>45920</v>
      </c>
      <c r="B869" s="17" t="s">
        <v>962</v>
      </c>
      <c r="C869" s="17" t="s">
        <v>75</v>
      </c>
      <c r="D869" s="17" t="s">
        <v>96</v>
      </c>
      <c r="E869" s="17" t="n">
        <v>11</v>
      </c>
      <c r="F869" s="18" t="n">
        <v>120</v>
      </c>
      <c r="G869" s="19" t="n">
        <v>0.1</v>
      </c>
      <c r="H869" s="18" t="n">
        <v>1188</v>
      </c>
      <c r="I869" s="20"/>
    </row>
    <row r="870" customFormat="false" ht="15" hidden="false" customHeight="false" outlineLevel="0" collapsed="false">
      <c r="A870" s="16" t="n">
        <v>45920</v>
      </c>
      <c r="B870" s="17" t="s">
        <v>963</v>
      </c>
      <c r="C870" s="17" t="s">
        <v>75</v>
      </c>
      <c r="D870" s="17" t="s">
        <v>102</v>
      </c>
      <c r="E870" s="17" t="n">
        <v>7</v>
      </c>
      <c r="F870" s="18" t="n">
        <v>120</v>
      </c>
      <c r="G870" s="19" t="n">
        <v>0</v>
      </c>
      <c r="H870" s="18" t="n">
        <v>840</v>
      </c>
      <c r="I870" s="20"/>
    </row>
    <row r="871" customFormat="false" ht="15" hidden="false" customHeight="false" outlineLevel="0" collapsed="false">
      <c r="A871" s="16" t="n">
        <v>45921</v>
      </c>
      <c r="B871" s="17" t="s">
        <v>964</v>
      </c>
      <c r="C871" s="17" t="s">
        <v>78</v>
      </c>
      <c r="D871" s="17" t="s">
        <v>92</v>
      </c>
      <c r="E871" s="17" t="n">
        <v>10</v>
      </c>
      <c r="F871" s="18" t="n">
        <v>95</v>
      </c>
      <c r="G871" s="19" t="n">
        <v>0.1</v>
      </c>
      <c r="H871" s="18" t="n">
        <v>855</v>
      </c>
      <c r="I871" s="20"/>
    </row>
    <row r="872" customFormat="false" ht="15" hidden="false" customHeight="false" outlineLevel="0" collapsed="false">
      <c r="A872" s="16" t="n">
        <v>45922</v>
      </c>
      <c r="B872" s="17" t="s">
        <v>965</v>
      </c>
      <c r="C872" s="17" t="s">
        <v>81</v>
      </c>
      <c r="D872" s="17" t="s">
        <v>96</v>
      </c>
      <c r="E872" s="17" t="n">
        <v>9</v>
      </c>
      <c r="F872" s="18" t="n">
        <v>60</v>
      </c>
      <c r="G872" s="19" t="n">
        <v>0.1</v>
      </c>
      <c r="H872" s="18" t="n">
        <v>486</v>
      </c>
      <c r="I872" s="20"/>
    </row>
    <row r="873" customFormat="false" ht="15" hidden="false" customHeight="false" outlineLevel="0" collapsed="false">
      <c r="A873" s="16" t="n">
        <v>45923</v>
      </c>
      <c r="B873" s="17" t="s">
        <v>966</v>
      </c>
      <c r="C873" s="17" t="s">
        <v>81</v>
      </c>
      <c r="D873" s="17" t="s">
        <v>98</v>
      </c>
      <c r="E873" s="17" t="n">
        <v>5</v>
      </c>
      <c r="F873" s="18" t="n">
        <v>60</v>
      </c>
      <c r="G873" s="19" t="n">
        <v>0</v>
      </c>
      <c r="H873" s="18" t="n">
        <v>300</v>
      </c>
      <c r="I873" s="20"/>
    </row>
    <row r="874" customFormat="false" ht="15" hidden="false" customHeight="false" outlineLevel="0" collapsed="false">
      <c r="A874" s="16" t="n">
        <v>45923</v>
      </c>
      <c r="B874" s="17" t="s">
        <v>967</v>
      </c>
      <c r="C874" s="17" t="s">
        <v>73</v>
      </c>
      <c r="D874" s="17" t="s">
        <v>96</v>
      </c>
      <c r="E874" s="17" t="n">
        <v>6</v>
      </c>
      <c r="F874" s="18" t="n">
        <v>1450</v>
      </c>
      <c r="G874" s="19" t="n">
        <v>0</v>
      </c>
      <c r="H874" s="18" t="n">
        <v>8700</v>
      </c>
      <c r="I874" s="20"/>
    </row>
    <row r="875" customFormat="false" ht="15" hidden="false" customHeight="false" outlineLevel="0" collapsed="false">
      <c r="A875" s="16" t="n">
        <v>45924</v>
      </c>
      <c r="B875" s="17" t="s">
        <v>968</v>
      </c>
      <c r="C875" s="17" t="s">
        <v>73</v>
      </c>
      <c r="D875" s="17" t="s">
        <v>98</v>
      </c>
      <c r="E875" s="17" t="n">
        <v>16</v>
      </c>
      <c r="F875" s="18" t="n">
        <v>1450</v>
      </c>
      <c r="G875" s="19" t="n">
        <v>0</v>
      </c>
      <c r="H875" s="18" t="n">
        <v>23200</v>
      </c>
      <c r="I875" s="20"/>
    </row>
    <row r="876" customFormat="false" ht="15" hidden="false" customHeight="false" outlineLevel="0" collapsed="false">
      <c r="A876" s="16" t="n">
        <v>45925</v>
      </c>
      <c r="B876" s="17" t="s">
        <v>969</v>
      </c>
      <c r="C876" s="17" t="s">
        <v>75</v>
      </c>
      <c r="D876" s="17" t="s">
        <v>96</v>
      </c>
      <c r="E876" s="17" t="n">
        <v>2</v>
      </c>
      <c r="F876" s="18" t="n">
        <v>120</v>
      </c>
      <c r="G876" s="19" t="n">
        <v>0</v>
      </c>
      <c r="H876" s="18" t="n">
        <v>240</v>
      </c>
      <c r="I876" s="20"/>
    </row>
    <row r="877" customFormat="false" ht="15" hidden="false" customHeight="false" outlineLevel="0" collapsed="false">
      <c r="A877" s="16" t="n">
        <v>45925</v>
      </c>
      <c r="B877" s="17" t="s">
        <v>970</v>
      </c>
      <c r="C877" s="17" t="s">
        <v>70</v>
      </c>
      <c r="D877" s="17" t="s">
        <v>102</v>
      </c>
      <c r="E877" s="17" t="n">
        <v>12</v>
      </c>
      <c r="F877" s="18" t="n">
        <v>850</v>
      </c>
      <c r="G877" s="19" t="n">
        <v>0.05</v>
      </c>
      <c r="H877" s="18" t="n">
        <v>9690</v>
      </c>
      <c r="I877" s="20"/>
    </row>
    <row r="878" customFormat="false" ht="15" hidden="false" customHeight="false" outlineLevel="0" collapsed="false">
      <c r="A878" s="16" t="n">
        <v>45925</v>
      </c>
      <c r="B878" s="17" t="s">
        <v>971</v>
      </c>
      <c r="C878" s="17" t="s">
        <v>75</v>
      </c>
      <c r="D878" s="17" t="s">
        <v>96</v>
      </c>
      <c r="E878" s="17" t="n">
        <v>11</v>
      </c>
      <c r="F878" s="18" t="n">
        <v>120</v>
      </c>
      <c r="G878" s="19" t="n">
        <v>0</v>
      </c>
      <c r="H878" s="18" t="n">
        <v>1320</v>
      </c>
      <c r="I878" s="20"/>
    </row>
    <row r="879" customFormat="false" ht="15" hidden="false" customHeight="false" outlineLevel="0" collapsed="false">
      <c r="A879" s="16" t="n">
        <v>45925</v>
      </c>
      <c r="B879" s="17" t="s">
        <v>972</v>
      </c>
      <c r="C879" s="17" t="s">
        <v>75</v>
      </c>
      <c r="D879" s="17" t="s">
        <v>92</v>
      </c>
      <c r="E879" s="17" t="n">
        <v>6</v>
      </c>
      <c r="F879" s="18" t="n">
        <v>120</v>
      </c>
      <c r="G879" s="19" t="n">
        <v>0</v>
      </c>
      <c r="H879" s="18" t="n">
        <v>720</v>
      </c>
      <c r="I879" s="20"/>
    </row>
    <row r="880" customFormat="false" ht="15" hidden="false" customHeight="false" outlineLevel="0" collapsed="false">
      <c r="A880" s="16" t="n">
        <v>45925</v>
      </c>
      <c r="B880" s="17" t="s">
        <v>973</v>
      </c>
      <c r="C880" s="17" t="s">
        <v>73</v>
      </c>
      <c r="D880" s="17" t="s">
        <v>92</v>
      </c>
      <c r="E880" s="17" t="n">
        <v>11</v>
      </c>
      <c r="F880" s="18" t="n">
        <v>1450</v>
      </c>
      <c r="G880" s="19" t="n">
        <v>0.1</v>
      </c>
      <c r="H880" s="18" t="n">
        <v>14355</v>
      </c>
      <c r="I880" s="20"/>
    </row>
    <row r="881" customFormat="false" ht="15" hidden="false" customHeight="false" outlineLevel="0" collapsed="false">
      <c r="A881" s="16" t="n">
        <v>45925</v>
      </c>
      <c r="B881" s="17" t="s">
        <v>974</v>
      </c>
      <c r="C881" s="17" t="s">
        <v>81</v>
      </c>
      <c r="D881" s="17" t="s">
        <v>102</v>
      </c>
      <c r="E881" s="17" t="n">
        <v>11</v>
      </c>
      <c r="F881" s="18" t="n">
        <v>60</v>
      </c>
      <c r="G881" s="19" t="n">
        <v>0</v>
      </c>
      <c r="H881" s="18" t="n">
        <v>660</v>
      </c>
      <c r="I881" s="20"/>
    </row>
    <row r="882" customFormat="false" ht="15" hidden="false" customHeight="false" outlineLevel="0" collapsed="false">
      <c r="A882" s="16" t="n">
        <v>45925</v>
      </c>
      <c r="B882" s="17" t="s">
        <v>975</v>
      </c>
      <c r="C882" s="17" t="s">
        <v>70</v>
      </c>
      <c r="D882" s="17" t="s">
        <v>92</v>
      </c>
      <c r="E882" s="17" t="n">
        <v>15</v>
      </c>
      <c r="F882" s="18" t="n">
        <v>850</v>
      </c>
      <c r="G882" s="19" t="n">
        <v>0</v>
      </c>
      <c r="H882" s="18" t="n">
        <v>12750</v>
      </c>
      <c r="I882" s="20"/>
    </row>
    <row r="883" customFormat="false" ht="15" hidden="false" customHeight="false" outlineLevel="0" collapsed="false">
      <c r="A883" s="16" t="n">
        <v>45925</v>
      </c>
      <c r="B883" s="17" t="s">
        <v>976</v>
      </c>
      <c r="C883" s="17" t="s">
        <v>73</v>
      </c>
      <c r="D883" s="17" t="s">
        <v>92</v>
      </c>
      <c r="E883" s="17" t="n">
        <v>9</v>
      </c>
      <c r="F883" s="18" t="n">
        <v>1450</v>
      </c>
      <c r="G883" s="19" t="n">
        <v>0</v>
      </c>
      <c r="H883" s="18" t="n">
        <v>13050</v>
      </c>
      <c r="I883" s="20"/>
    </row>
    <row r="884" customFormat="false" ht="15" hidden="false" customHeight="false" outlineLevel="0" collapsed="false">
      <c r="A884" s="16" t="n">
        <v>45926</v>
      </c>
      <c r="B884" s="17" t="s">
        <v>977</v>
      </c>
      <c r="C884" s="17" t="s">
        <v>73</v>
      </c>
      <c r="D884" s="17" t="s">
        <v>98</v>
      </c>
      <c r="E884" s="17" t="n">
        <v>15</v>
      </c>
      <c r="F884" s="18" t="n">
        <v>1450</v>
      </c>
      <c r="G884" s="19" t="n">
        <v>0.05</v>
      </c>
      <c r="H884" s="18" t="n">
        <v>20662.5</v>
      </c>
      <c r="I884" s="20"/>
    </row>
    <row r="885" customFormat="false" ht="15" hidden="false" customHeight="false" outlineLevel="0" collapsed="false">
      <c r="A885" s="16" t="n">
        <v>45926</v>
      </c>
      <c r="B885" s="17" t="s">
        <v>978</v>
      </c>
      <c r="C885" s="17" t="s">
        <v>73</v>
      </c>
      <c r="D885" s="17" t="s">
        <v>102</v>
      </c>
      <c r="E885" s="17" t="n">
        <v>7</v>
      </c>
      <c r="F885" s="18" t="n">
        <v>1450</v>
      </c>
      <c r="G885" s="19" t="n">
        <v>0</v>
      </c>
      <c r="H885" s="18" t="n">
        <v>10150</v>
      </c>
      <c r="I885" s="20"/>
    </row>
    <row r="886" customFormat="false" ht="15" hidden="false" customHeight="false" outlineLevel="0" collapsed="false">
      <c r="A886" s="16" t="n">
        <v>45926</v>
      </c>
      <c r="B886" s="17" t="s">
        <v>979</v>
      </c>
      <c r="C886" s="17" t="s">
        <v>81</v>
      </c>
      <c r="D886" s="17" t="s">
        <v>92</v>
      </c>
      <c r="E886" s="17" t="n">
        <v>12</v>
      </c>
      <c r="F886" s="18" t="n">
        <v>60</v>
      </c>
      <c r="G886" s="19" t="n">
        <v>0</v>
      </c>
      <c r="H886" s="18" t="n">
        <v>720</v>
      </c>
      <c r="I886" s="20"/>
    </row>
    <row r="887" customFormat="false" ht="15" hidden="false" customHeight="false" outlineLevel="0" collapsed="false">
      <c r="A887" s="16" t="n">
        <v>45926</v>
      </c>
      <c r="B887" s="17" t="s">
        <v>980</v>
      </c>
      <c r="C887" s="17" t="s">
        <v>70</v>
      </c>
      <c r="D887" s="17" t="s">
        <v>102</v>
      </c>
      <c r="E887" s="17" t="n">
        <v>16</v>
      </c>
      <c r="F887" s="18" t="n">
        <v>850</v>
      </c>
      <c r="G887" s="19" t="n">
        <v>0.1</v>
      </c>
      <c r="H887" s="18" t="n">
        <v>12240</v>
      </c>
      <c r="I887" s="20"/>
    </row>
    <row r="888" customFormat="false" ht="15" hidden="false" customHeight="false" outlineLevel="0" collapsed="false">
      <c r="A888" s="16" t="n">
        <v>45926</v>
      </c>
      <c r="B888" s="17" t="s">
        <v>981</v>
      </c>
      <c r="C888" s="17" t="s">
        <v>75</v>
      </c>
      <c r="D888" s="17" t="s">
        <v>96</v>
      </c>
      <c r="E888" s="17" t="n">
        <v>10</v>
      </c>
      <c r="F888" s="18" t="n">
        <v>120</v>
      </c>
      <c r="G888" s="19" t="n">
        <v>0</v>
      </c>
      <c r="H888" s="18" t="n">
        <v>1200</v>
      </c>
      <c r="I888" s="20"/>
    </row>
    <row r="889" customFormat="false" ht="15" hidden="false" customHeight="false" outlineLevel="0" collapsed="false">
      <c r="A889" s="16" t="n">
        <v>45927</v>
      </c>
      <c r="B889" s="17" t="s">
        <v>982</v>
      </c>
      <c r="C889" s="17" t="s">
        <v>78</v>
      </c>
      <c r="D889" s="17" t="s">
        <v>92</v>
      </c>
      <c r="E889" s="17" t="n">
        <v>5</v>
      </c>
      <c r="F889" s="18" t="n">
        <v>95</v>
      </c>
      <c r="G889" s="19" t="n">
        <v>0</v>
      </c>
      <c r="H889" s="18" t="n">
        <v>475</v>
      </c>
      <c r="I889" s="20"/>
    </row>
    <row r="890" customFormat="false" ht="15" hidden="false" customHeight="false" outlineLevel="0" collapsed="false">
      <c r="A890" s="16" t="n">
        <v>45927</v>
      </c>
      <c r="B890" s="17" t="s">
        <v>983</v>
      </c>
      <c r="C890" s="17" t="s">
        <v>78</v>
      </c>
      <c r="D890" s="17" t="s">
        <v>96</v>
      </c>
      <c r="E890" s="17" t="n">
        <v>8</v>
      </c>
      <c r="F890" s="18" t="n">
        <v>95</v>
      </c>
      <c r="G890" s="19" t="n">
        <v>0</v>
      </c>
      <c r="H890" s="18" t="n">
        <v>760</v>
      </c>
      <c r="I890" s="20"/>
    </row>
    <row r="891" customFormat="false" ht="15" hidden="false" customHeight="false" outlineLevel="0" collapsed="false">
      <c r="A891" s="16" t="n">
        <v>45927</v>
      </c>
      <c r="B891" s="17" t="s">
        <v>984</v>
      </c>
      <c r="C891" s="17" t="s">
        <v>73</v>
      </c>
      <c r="D891" s="17" t="s">
        <v>92</v>
      </c>
      <c r="E891" s="17" t="n">
        <v>1</v>
      </c>
      <c r="F891" s="18" t="n">
        <v>1450</v>
      </c>
      <c r="G891" s="19" t="n">
        <v>0.05</v>
      </c>
      <c r="H891" s="18" t="n">
        <v>1377.5</v>
      </c>
      <c r="I891" s="20"/>
    </row>
    <row r="892" customFormat="false" ht="15" hidden="false" customHeight="false" outlineLevel="0" collapsed="false">
      <c r="A892" s="16" t="n">
        <v>45928</v>
      </c>
      <c r="B892" s="17" t="s">
        <v>985</v>
      </c>
      <c r="C892" s="17" t="s">
        <v>75</v>
      </c>
      <c r="D892" s="17" t="s">
        <v>92</v>
      </c>
      <c r="E892" s="17" t="n">
        <v>11</v>
      </c>
      <c r="F892" s="18" t="n">
        <v>120</v>
      </c>
      <c r="G892" s="19" t="n">
        <v>0</v>
      </c>
      <c r="H892" s="18" t="n">
        <v>1320</v>
      </c>
      <c r="I892" s="20"/>
    </row>
    <row r="893" customFormat="false" ht="15" hidden="false" customHeight="false" outlineLevel="0" collapsed="false">
      <c r="A893" s="16" t="n">
        <v>45928</v>
      </c>
      <c r="B893" s="17" t="s">
        <v>986</v>
      </c>
      <c r="C893" s="17" t="s">
        <v>75</v>
      </c>
      <c r="D893" s="17" t="s">
        <v>96</v>
      </c>
      <c r="E893" s="17" t="n">
        <v>16</v>
      </c>
      <c r="F893" s="18" t="n">
        <v>120</v>
      </c>
      <c r="G893" s="19" t="n">
        <v>0</v>
      </c>
      <c r="H893" s="18" t="n">
        <v>1920</v>
      </c>
      <c r="I893" s="20"/>
    </row>
    <row r="894" customFormat="false" ht="15" hidden="false" customHeight="false" outlineLevel="0" collapsed="false">
      <c r="A894" s="16" t="n">
        <v>45928</v>
      </c>
      <c r="B894" s="17" t="s">
        <v>987</v>
      </c>
      <c r="C894" s="17" t="s">
        <v>70</v>
      </c>
      <c r="D894" s="17" t="s">
        <v>96</v>
      </c>
      <c r="E894" s="17" t="n">
        <v>19</v>
      </c>
      <c r="F894" s="18" t="n">
        <v>850</v>
      </c>
      <c r="G894" s="19" t="n">
        <v>0.05</v>
      </c>
      <c r="H894" s="18" t="n">
        <v>15342.5</v>
      </c>
      <c r="I894" s="20"/>
    </row>
    <row r="895" customFormat="false" ht="15" hidden="false" customHeight="false" outlineLevel="0" collapsed="false">
      <c r="A895" s="16" t="n">
        <v>45931</v>
      </c>
      <c r="B895" s="17" t="s">
        <v>988</v>
      </c>
      <c r="C895" s="17" t="s">
        <v>73</v>
      </c>
      <c r="D895" s="17" t="s">
        <v>96</v>
      </c>
      <c r="E895" s="17" t="n">
        <v>2</v>
      </c>
      <c r="F895" s="18" t="n">
        <v>1450</v>
      </c>
      <c r="G895" s="19" t="n">
        <v>0</v>
      </c>
      <c r="H895" s="18" t="n">
        <v>2900</v>
      </c>
      <c r="I895" s="20"/>
    </row>
    <row r="896" customFormat="false" ht="15" hidden="false" customHeight="false" outlineLevel="0" collapsed="false">
      <c r="A896" s="16" t="n">
        <v>45931</v>
      </c>
      <c r="B896" s="17" t="s">
        <v>989</v>
      </c>
      <c r="C896" s="17" t="s">
        <v>70</v>
      </c>
      <c r="D896" s="17" t="s">
        <v>102</v>
      </c>
      <c r="E896" s="17" t="n">
        <v>16</v>
      </c>
      <c r="F896" s="18" t="n">
        <v>850</v>
      </c>
      <c r="G896" s="19" t="n">
        <v>0</v>
      </c>
      <c r="H896" s="18" t="n">
        <v>13600</v>
      </c>
      <c r="I896" s="20"/>
    </row>
    <row r="897" customFormat="false" ht="15" hidden="false" customHeight="false" outlineLevel="0" collapsed="false">
      <c r="A897" s="16" t="n">
        <v>45932</v>
      </c>
      <c r="B897" s="17" t="s">
        <v>990</v>
      </c>
      <c r="C897" s="17" t="s">
        <v>81</v>
      </c>
      <c r="D897" s="17" t="s">
        <v>98</v>
      </c>
      <c r="E897" s="17" t="n">
        <v>18</v>
      </c>
      <c r="F897" s="18" t="n">
        <v>60</v>
      </c>
      <c r="G897" s="19" t="n">
        <v>0.05</v>
      </c>
      <c r="H897" s="18" t="n">
        <v>1026</v>
      </c>
      <c r="I897" s="20"/>
    </row>
    <row r="898" customFormat="false" ht="15" hidden="false" customHeight="false" outlineLevel="0" collapsed="false">
      <c r="A898" s="16" t="n">
        <v>45932</v>
      </c>
      <c r="B898" s="17" t="s">
        <v>991</v>
      </c>
      <c r="C898" s="17" t="s">
        <v>75</v>
      </c>
      <c r="D898" s="17" t="s">
        <v>92</v>
      </c>
      <c r="E898" s="17" t="n">
        <v>6</v>
      </c>
      <c r="F898" s="18" t="n">
        <v>120</v>
      </c>
      <c r="G898" s="19" t="n">
        <v>0</v>
      </c>
      <c r="H898" s="18" t="n">
        <v>720</v>
      </c>
      <c r="I898" s="20"/>
    </row>
    <row r="899" customFormat="false" ht="15" hidden="false" customHeight="false" outlineLevel="0" collapsed="false">
      <c r="A899" s="16" t="n">
        <v>45933</v>
      </c>
      <c r="B899" s="17" t="s">
        <v>992</v>
      </c>
      <c r="C899" s="17" t="s">
        <v>73</v>
      </c>
      <c r="D899" s="17" t="s">
        <v>96</v>
      </c>
      <c r="E899" s="17" t="n">
        <v>13</v>
      </c>
      <c r="F899" s="18" t="n">
        <v>1450</v>
      </c>
      <c r="G899" s="19" t="n">
        <v>0</v>
      </c>
      <c r="H899" s="18" t="n">
        <v>18850</v>
      </c>
      <c r="I899" s="20"/>
    </row>
    <row r="900" customFormat="false" ht="15" hidden="false" customHeight="false" outlineLevel="0" collapsed="false">
      <c r="A900" s="16" t="n">
        <v>45933</v>
      </c>
      <c r="B900" s="17" t="s">
        <v>993</v>
      </c>
      <c r="C900" s="17" t="s">
        <v>70</v>
      </c>
      <c r="D900" s="17" t="s">
        <v>98</v>
      </c>
      <c r="E900" s="17" t="n">
        <v>17</v>
      </c>
      <c r="F900" s="18" t="n">
        <v>850</v>
      </c>
      <c r="G900" s="19" t="n">
        <v>0.1</v>
      </c>
      <c r="H900" s="18" t="n">
        <v>13005</v>
      </c>
      <c r="I900" s="20"/>
    </row>
    <row r="901" customFormat="false" ht="15" hidden="false" customHeight="false" outlineLevel="0" collapsed="false">
      <c r="A901" s="16" t="n">
        <v>45933</v>
      </c>
      <c r="B901" s="17" t="s">
        <v>994</v>
      </c>
      <c r="C901" s="17" t="s">
        <v>81</v>
      </c>
      <c r="D901" s="17" t="s">
        <v>96</v>
      </c>
      <c r="E901" s="17" t="n">
        <v>10</v>
      </c>
      <c r="F901" s="18" t="n">
        <v>60</v>
      </c>
      <c r="G901" s="19" t="n">
        <v>0.05</v>
      </c>
      <c r="H901" s="18" t="n">
        <v>570</v>
      </c>
      <c r="I901" s="20"/>
    </row>
    <row r="902" customFormat="false" ht="15" hidden="false" customHeight="false" outlineLevel="0" collapsed="false">
      <c r="A902" s="16" t="n">
        <v>45933</v>
      </c>
      <c r="B902" s="17" t="s">
        <v>995</v>
      </c>
      <c r="C902" s="17" t="s">
        <v>81</v>
      </c>
      <c r="D902" s="17" t="s">
        <v>102</v>
      </c>
      <c r="E902" s="17" t="n">
        <v>15</v>
      </c>
      <c r="F902" s="18" t="n">
        <v>60</v>
      </c>
      <c r="G902" s="19" t="n">
        <v>0</v>
      </c>
      <c r="H902" s="18" t="n">
        <v>900</v>
      </c>
      <c r="I902" s="20"/>
    </row>
    <row r="903" customFormat="false" ht="15" hidden="false" customHeight="false" outlineLevel="0" collapsed="false">
      <c r="A903" s="16" t="n">
        <v>45934</v>
      </c>
      <c r="B903" s="17" t="s">
        <v>996</v>
      </c>
      <c r="C903" s="17" t="s">
        <v>70</v>
      </c>
      <c r="D903" s="17" t="s">
        <v>102</v>
      </c>
      <c r="E903" s="17" t="n">
        <v>15</v>
      </c>
      <c r="F903" s="18" t="n">
        <v>850</v>
      </c>
      <c r="G903" s="19" t="n">
        <v>0</v>
      </c>
      <c r="H903" s="18" t="n">
        <v>12750</v>
      </c>
      <c r="I903" s="20"/>
    </row>
    <row r="904" customFormat="false" ht="15" hidden="false" customHeight="false" outlineLevel="0" collapsed="false">
      <c r="A904" s="16" t="n">
        <v>45934</v>
      </c>
      <c r="B904" s="17" t="s">
        <v>997</v>
      </c>
      <c r="C904" s="17" t="s">
        <v>70</v>
      </c>
      <c r="D904" s="17" t="s">
        <v>96</v>
      </c>
      <c r="E904" s="17" t="n">
        <v>7</v>
      </c>
      <c r="F904" s="18" t="n">
        <v>850</v>
      </c>
      <c r="G904" s="19" t="n">
        <v>0.1</v>
      </c>
      <c r="H904" s="18" t="n">
        <v>5355</v>
      </c>
      <c r="I904" s="20"/>
    </row>
    <row r="905" customFormat="false" ht="15" hidden="false" customHeight="false" outlineLevel="0" collapsed="false">
      <c r="A905" s="16" t="n">
        <v>45934</v>
      </c>
      <c r="B905" s="17" t="s">
        <v>998</v>
      </c>
      <c r="C905" s="17" t="s">
        <v>78</v>
      </c>
      <c r="D905" s="17" t="s">
        <v>92</v>
      </c>
      <c r="E905" s="17" t="n">
        <v>14</v>
      </c>
      <c r="F905" s="18" t="n">
        <v>95</v>
      </c>
      <c r="G905" s="19" t="n">
        <v>0</v>
      </c>
      <c r="H905" s="18" t="n">
        <v>1330</v>
      </c>
      <c r="I905" s="20"/>
    </row>
    <row r="906" customFormat="false" ht="15" hidden="false" customHeight="false" outlineLevel="0" collapsed="false">
      <c r="A906" s="16" t="n">
        <v>45935</v>
      </c>
      <c r="B906" s="17" t="s">
        <v>999</v>
      </c>
      <c r="C906" s="17" t="s">
        <v>75</v>
      </c>
      <c r="D906" s="17" t="s">
        <v>98</v>
      </c>
      <c r="E906" s="17" t="n">
        <v>13</v>
      </c>
      <c r="F906" s="18" t="n">
        <v>120</v>
      </c>
      <c r="G906" s="19" t="n">
        <v>0</v>
      </c>
      <c r="H906" s="18" t="n">
        <v>1560</v>
      </c>
      <c r="I906" s="20"/>
    </row>
    <row r="907" customFormat="false" ht="15" hidden="false" customHeight="false" outlineLevel="0" collapsed="false">
      <c r="A907" s="16" t="n">
        <v>45935</v>
      </c>
      <c r="B907" s="17" t="s">
        <v>1000</v>
      </c>
      <c r="C907" s="17" t="s">
        <v>81</v>
      </c>
      <c r="D907" s="17" t="s">
        <v>102</v>
      </c>
      <c r="E907" s="17" t="n">
        <v>8</v>
      </c>
      <c r="F907" s="18" t="n">
        <v>60</v>
      </c>
      <c r="G907" s="19" t="n">
        <v>0</v>
      </c>
      <c r="H907" s="18" t="n">
        <v>480</v>
      </c>
      <c r="I907" s="20"/>
    </row>
    <row r="908" customFormat="false" ht="15" hidden="false" customHeight="false" outlineLevel="0" collapsed="false">
      <c r="A908" s="16" t="n">
        <v>45935</v>
      </c>
      <c r="B908" s="17" t="s">
        <v>1001</v>
      </c>
      <c r="C908" s="17" t="s">
        <v>75</v>
      </c>
      <c r="D908" s="17" t="s">
        <v>96</v>
      </c>
      <c r="E908" s="17" t="n">
        <v>1</v>
      </c>
      <c r="F908" s="18" t="n">
        <v>120</v>
      </c>
      <c r="G908" s="19" t="n">
        <v>0.05</v>
      </c>
      <c r="H908" s="18" t="n">
        <v>114</v>
      </c>
      <c r="I908" s="20"/>
    </row>
    <row r="909" customFormat="false" ht="15" hidden="false" customHeight="false" outlineLevel="0" collapsed="false">
      <c r="A909" s="16" t="n">
        <v>45935</v>
      </c>
      <c r="B909" s="17" t="s">
        <v>1002</v>
      </c>
      <c r="C909" s="17" t="s">
        <v>75</v>
      </c>
      <c r="D909" s="17" t="s">
        <v>102</v>
      </c>
      <c r="E909" s="17" t="n">
        <v>2</v>
      </c>
      <c r="F909" s="18" t="n">
        <v>120</v>
      </c>
      <c r="G909" s="19" t="n">
        <v>0.1</v>
      </c>
      <c r="H909" s="18" t="n">
        <v>216</v>
      </c>
      <c r="I909" s="20"/>
    </row>
    <row r="910" customFormat="false" ht="15" hidden="false" customHeight="false" outlineLevel="0" collapsed="false">
      <c r="A910" s="16" t="n">
        <v>45936</v>
      </c>
      <c r="B910" s="17" t="s">
        <v>1003</v>
      </c>
      <c r="C910" s="17" t="s">
        <v>73</v>
      </c>
      <c r="D910" s="17" t="s">
        <v>102</v>
      </c>
      <c r="E910" s="17" t="n">
        <v>20</v>
      </c>
      <c r="F910" s="18" t="n">
        <v>1450</v>
      </c>
      <c r="G910" s="19" t="n">
        <v>0.1</v>
      </c>
      <c r="H910" s="18" t="n">
        <v>26100</v>
      </c>
      <c r="I910" s="20"/>
    </row>
    <row r="911" customFormat="false" ht="15" hidden="false" customHeight="false" outlineLevel="0" collapsed="false">
      <c r="A911" s="16" t="n">
        <v>45936</v>
      </c>
      <c r="B911" s="17" t="s">
        <v>1004</v>
      </c>
      <c r="C911" s="17" t="s">
        <v>75</v>
      </c>
      <c r="D911" s="17" t="s">
        <v>98</v>
      </c>
      <c r="E911" s="17" t="n">
        <v>8</v>
      </c>
      <c r="F911" s="18" t="n">
        <v>120</v>
      </c>
      <c r="G911" s="19" t="n">
        <v>0.05</v>
      </c>
      <c r="H911" s="18" t="n">
        <v>912</v>
      </c>
      <c r="I911" s="20"/>
    </row>
    <row r="912" customFormat="false" ht="15" hidden="false" customHeight="false" outlineLevel="0" collapsed="false">
      <c r="A912" s="16" t="n">
        <v>45936</v>
      </c>
      <c r="B912" s="17" t="s">
        <v>1005</v>
      </c>
      <c r="C912" s="17" t="s">
        <v>81</v>
      </c>
      <c r="D912" s="17" t="s">
        <v>98</v>
      </c>
      <c r="E912" s="17" t="n">
        <v>18</v>
      </c>
      <c r="F912" s="18" t="n">
        <v>60</v>
      </c>
      <c r="G912" s="19" t="n">
        <v>0.05</v>
      </c>
      <c r="H912" s="18" t="n">
        <v>1026</v>
      </c>
      <c r="I912" s="20"/>
    </row>
    <row r="913" customFormat="false" ht="15" hidden="false" customHeight="false" outlineLevel="0" collapsed="false">
      <c r="A913" s="16" t="n">
        <v>45936</v>
      </c>
      <c r="B913" s="17" t="s">
        <v>1006</v>
      </c>
      <c r="C913" s="17" t="s">
        <v>75</v>
      </c>
      <c r="D913" s="17" t="s">
        <v>96</v>
      </c>
      <c r="E913" s="17" t="n">
        <v>12</v>
      </c>
      <c r="F913" s="18" t="n">
        <v>120</v>
      </c>
      <c r="G913" s="19" t="n">
        <v>0</v>
      </c>
      <c r="H913" s="18" t="n">
        <v>1440</v>
      </c>
      <c r="I913" s="20"/>
    </row>
    <row r="914" customFormat="false" ht="15" hidden="false" customHeight="false" outlineLevel="0" collapsed="false">
      <c r="A914" s="16" t="n">
        <v>45937</v>
      </c>
      <c r="B914" s="17" t="s">
        <v>1007</v>
      </c>
      <c r="C914" s="17" t="s">
        <v>75</v>
      </c>
      <c r="D914" s="17" t="s">
        <v>102</v>
      </c>
      <c r="E914" s="17" t="n">
        <v>9</v>
      </c>
      <c r="F914" s="18" t="n">
        <v>120</v>
      </c>
      <c r="G914" s="19" t="n">
        <v>0</v>
      </c>
      <c r="H914" s="18" t="n">
        <v>1080</v>
      </c>
      <c r="I914" s="20"/>
    </row>
    <row r="915" customFormat="false" ht="15" hidden="false" customHeight="false" outlineLevel="0" collapsed="false">
      <c r="A915" s="16" t="n">
        <v>45937</v>
      </c>
      <c r="B915" s="17" t="s">
        <v>1008</v>
      </c>
      <c r="C915" s="17" t="s">
        <v>73</v>
      </c>
      <c r="D915" s="17" t="s">
        <v>102</v>
      </c>
      <c r="E915" s="17" t="n">
        <v>15</v>
      </c>
      <c r="F915" s="18" t="n">
        <v>1450</v>
      </c>
      <c r="G915" s="19" t="n">
        <v>0</v>
      </c>
      <c r="H915" s="18" t="n">
        <v>21750</v>
      </c>
      <c r="I915" s="20"/>
    </row>
    <row r="916" customFormat="false" ht="15" hidden="false" customHeight="false" outlineLevel="0" collapsed="false">
      <c r="A916" s="16" t="n">
        <v>45937</v>
      </c>
      <c r="B916" s="17" t="s">
        <v>1009</v>
      </c>
      <c r="C916" s="17" t="s">
        <v>75</v>
      </c>
      <c r="D916" s="17" t="s">
        <v>92</v>
      </c>
      <c r="E916" s="17" t="n">
        <v>3</v>
      </c>
      <c r="F916" s="18" t="n">
        <v>120</v>
      </c>
      <c r="G916" s="19" t="n">
        <v>0.05</v>
      </c>
      <c r="H916" s="18" t="n">
        <v>342</v>
      </c>
      <c r="I916" s="20"/>
    </row>
    <row r="917" customFormat="false" ht="15" hidden="false" customHeight="false" outlineLevel="0" collapsed="false">
      <c r="A917" s="16" t="n">
        <v>45937</v>
      </c>
      <c r="B917" s="17" t="s">
        <v>1010</v>
      </c>
      <c r="C917" s="17" t="s">
        <v>78</v>
      </c>
      <c r="D917" s="17" t="s">
        <v>96</v>
      </c>
      <c r="E917" s="17" t="n">
        <v>12</v>
      </c>
      <c r="F917" s="18" t="n">
        <v>95</v>
      </c>
      <c r="G917" s="19" t="n">
        <v>0</v>
      </c>
      <c r="H917" s="18" t="n">
        <v>1140</v>
      </c>
      <c r="I917" s="20"/>
    </row>
    <row r="918" customFormat="false" ht="15" hidden="false" customHeight="false" outlineLevel="0" collapsed="false">
      <c r="A918" s="16" t="n">
        <v>45937</v>
      </c>
      <c r="B918" s="17" t="s">
        <v>1011</v>
      </c>
      <c r="C918" s="17" t="s">
        <v>73</v>
      </c>
      <c r="D918" s="17" t="s">
        <v>98</v>
      </c>
      <c r="E918" s="17" t="n">
        <v>9</v>
      </c>
      <c r="F918" s="18" t="n">
        <v>1450</v>
      </c>
      <c r="G918" s="19" t="n">
        <v>0.1</v>
      </c>
      <c r="H918" s="18" t="n">
        <v>11745</v>
      </c>
      <c r="I918" s="20"/>
    </row>
    <row r="919" customFormat="false" ht="15" hidden="false" customHeight="false" outlineLevel="0" collapsed="false">
      <c r="A919" s="16" t="n">
        <v>45937</v>
      </c>
      <c r="B919" s="17" t="s">
        <v>1012</v>
      </c>
      <c r="C919" s="17" t="s">
        <v>78</v>
      </c>
      <c r="D919" s="17" t="s">
        <v>92</v>
      </c>
      <c r="E919" s="17" t="n">
        <v>9</v>
      </c>
      <c r="F919" s="18" t="n">
        <v>95</v>
      </c>
      <c r="G919" s="19" t="n">
        <v>0</v>
      </c>
      <c r="H919" s="18" t="n">
        <v>855</v>
      </c>
      <c r="I919" s="20"/>
    </row>
    <row r="920" customFormat="false" ht="15" hidden="false" customHeight="false" outlineLevel="0" collapsed="false">
      <c r="A920" s="16" t="n">
        <v>45938</v>
      </c>
      <c r="B920" s="17" t="s">
        <v>1013</v>
      </c>
      <c r="C920" s="17" t="s">
        <v>70</v>
      </c>
      <c r="D920" s="17" t="s">
        <v>102</v>
      </c>
      <c r="E920" s="17" t="n">
        <v>8</v>
      </c>
      <c r="F920" s="18" t="n">
        <v>850</v>
      </c>
      <c r="G920" s="19" t="n">
        <v>0.05</v>
      </c>
      <c r="H920" s="18" t="n">
        <v>6460</v>
      </c>
      <c r="I920" s="20"/>
    </row>
    <row r="921" customFormat="false" ht="15" hidden="false" customHeight="false" outlineLevel="0" collapsed="false">
      <c r="A921" s="16" t="n">
        <v>45938</v>
      </c>
      <c r="B921" s="17" t="s">
        <v>1014</v>
      </c>
      <c r="C921" s="17" t="s">
        <v>70</v>
      </c>
      <c r="D921" s="17" t="s">
        <v>98</v>
      </c>
      <c r="E921" s="17" t="n">
        <v>7</v>
      </c>
      <c r="F921" s="18" t="n">
        <v>850</v>
      </c>
      <c r="G921" s="19" t="n">
        <v>0.05</v>
      </c>
      <c r="H921" s="18" t="n">
        <v>5652.5</v>
      </c>
      <c r="I921" s="20"/>
    </row>
    <row r="922" customFormat="false" ht="15" hidden="false" customHeight="false" outlineLevel="0" collapsed="false">
      <c r="A922" s="16" t="n">
        <v>45939</v>
      </c>
      <c r="B922" s="17" t="s">
        <v>1015</v>
      </c>
      <c r="C922" s="17" t="s">
        <v>81</v>
      </c>
      <c r="D922" s="17" t="s">
        <v>98</v>
      </c>
      <c r="E922" s="17" t="n">
        <v>13</v>
      </c>
      <c r="F922" s="18" t="n">
        <v>60</v>
      </c>
      <c r="G922" s="19" t="n">
        <v>0</v>
      </c>
      <c r="H922" s="18" t="n">
        <v>780</v>
      </c>
      <c r="I922" s="20"/>
    </row>
    <row r="923" customFormat="false" ht="15" hidden="false" customHeight="false" outlineLevel="0" collapsed="false">
      <c r="A923" s="16" t="n">
        <v>45940</v>
      </c>
      <c r="B923" s="17" t="s">
        <v>1016</v>
      </c>
      <c r="C923" s="17" t="s">
        <v>81</v>
      </c>
      <c r="D923" s="17" t="s">
        <v>102</v>
      </c>
      <c r="E923" s="17" t="n">
        <v>6</v>
      </c>
      <c r="F923" s="18" t="n">
        <v>60</v>
      </c>
      <c r="G923" s="19" t="n">
        <v>0.05</v>
      </c>
      <c r="H923" s="18" t="n">
        <v>342</v>
      </c>
      <c r="I923" s="20"/>
    </row>
    <row r="924" customFormat="false" ht="15" hidden="false" customHeight="false" outlineLevel="0" collapsed="false">
      <c r="A924" s="16" t="n">
        <v>45940</v>
      </c>
      <c r="B924" s="17" t="s">
        <v>1017</v>
      </c>
      <c r="C924" s="17" t="s">
        <v>81</v>
      </c>
      <c r="D924" s="17" t="s">
        <v>96</v>
      </c>
      <c r="E924" s="17" t="n">
        <v>4</v>
      </c>
      <c r="F924" s="18" t="n">
        <v>60</v>
      </c>
      <c r="G924" s="19" t="n">
        <v>0</v>
      </c>
      <c r="H924" s="18" t="n">
        <v>240</v>
      </c>
      <c r="I924" s="20"/>
    </row>
    <row r="925" customFormat="false" ht="15" hidden="false" customHeight="false" outlineLevel="0" collapsed="false">
      <c r="A925" s="16" t="n">
        <v>45940</v>
      </c>
      <c r="B925" s="17" t="s">
        <v>1018</v>
      </c>
      <c r="C925" s="17" t="s">
        <v>81</v>
      </c>
      <c r="D925" s="17" t="s">
        <v>96</v>
      </c>
      <c r="E925" s="17" t="n">
        <v>8</v>
      </c>
      <c r="F925" s="18" t="n">
        <v>60</v>
      </c>
      <c r="G925" s="19" t="n">
        <v>0</v>
      </c>
      <c r="H925" s="18" t="n">
        <v>480</v>
      </c>
      <c r="I925" s="20"/>
    </row>
    <row r="926" customFormat="false" ht="15" hidden="false" customHeight="false" outlineLevel="0" collapsed="false">
      <c r="A926" s="16" t="n">
        <v>45940</v>
      </c>
      <c r="B926" s="17" t="s">
        <v>1019</v>
      </c>
      <c r="C926" s="17" t="s">
        <v>73</v>
      </c>
      <c r="D926" s="17" t="s">
        <v>102</v>
      </c>
      <c r="E926" s="17" t="n">
        <v>10</v>
      </c>
      <c r="F926" s="18" t="n">
        <v>1450</v>
      </c>
      <c r="G926" s="19" t="n">
        <v>0</v>
      </c>
      <c r="H926" s="18" t="n">
        <v>14500</v>
      </c>
      <c r="I926" s="20"/>
    </row>
    <row r="927" customFormat="false" ht="15" hidden="false" customHeight="false" outlineLevel="0" collapsed="false">
      <c r="A927" s="16" t="n">
        <v>45940</v>
      </c>
      <c r="B927" s="17" t="s">
        <v>1020</v>
      </c>
      <c r="C927" s="17" t="s">
        <v>70</v>
      </c>
      <c r="D927" s="17" t="s">
        <v>96</v>
      </c>
      <c r="E927" s="17" t="n">
        <v>12</v>
      </c>
      <c r="F927" s="18" t="n">
        <v>850</v>
      </c>
      <c r="G927" s="19" t="n">
        <v>0</v>
      </c>
      <c r="H927" s="18" t="n">
        <v>10200</v>
      </c>
      <c r="I927" s="20"/>
    </row>
    <row r="928" customFormat="false" ht="15" hidden="false" customHeight="false" outlineLevel="0" collapsed="false">
      <c r="A928" s="16" t="n">
        <v>45940</v>
      </c>
      <c r="B928" s="17" t="s">
        <v>1021</v>
      </c>
      <c r="C928" s="17" t="s">
        <v>70</v>
      </c>
      <c r="D928" s="17" t="s">
        <v>102</v>
      </c>
      <c r="E928" s="17" t="n">
        <v>11</v>
      </c>
      <c r="F928" s="18" t="n">
        <v>850</v>
      </c>
      <c r="G928" s="19" t="n">
        <v>0</v>
      </c>
      <c r="H928" s="18" t="n">
        <v>9350</v>
      </c>
      <c r="I928" s="20"/>
    </row>
    <row r="929" customFormat="false" ht="15" hidden="false" customHeight="false" outlineLevel="0" collapsed="false">
      <c r="A929" s="16" t="n">
        <v>45941</v>
      </c>
      <c r="B929" s="17" t="s">
        <v>1022</v>
      </c>
      <c r="C929" s="17" t="s">
        <v>75</v>
      </c>
      <c r="D929" s="17" t="s">
        <v>102</v>
      </c>
      <c r="E929" s="17" t="n">
        <v>16</v>
      </c>
      <c r="F929" s="18" t="n">
        <v>120</v>
      </c>
      <c r="G929" s="19" t="n">
        <v>0.1</v>
      </c>
      <c r="H929" s="18" t="n">
        <v>1728</v>
      </c>
      <c r="I929" s="20"/>
    </row>
    <row r="930" customFormat="false" ht="15" hidden="false" customHeight="false" outlineLevel="0" collapsed="false">
      <c r="A930" s="16" t="n">
        <v>45942</v>
      </c>
      <c r="B930" s="17" t="s">
        <v>1023</v>
      </c>
      <c r="C930" s="17" t="s">
        <v>70</v>
      </c>
      <c r="D930" s="17" t="s">
        <v>96</v>
      </c>
      <c r="E930" s="17" t="n">
        <v>10</v>
      </c>
      <c r="F930" s="18" t="n">
        <v>850</v>
      </c>
      <c r="G930" s="19" t="n">
        <v>0</v>
      </c>
      <c r="H930" s="18" t="n">
        <v>8500</v>
      </c>
      <c r="I930" s="20"/>
    </row>
    <row r="931" customFormat="false" ht="15" hidden="false" customHeight="false" outlineLevel="0" collapsed="false">
      <c r="A931" s="16" t="n">
        <v>45942</v>
      </c>
      <c r="B931" s="17" t="s">
        <v>1024</v>
      </c>
      <c r="C931" s="17" t="s">
        <v>75</v>
      </c>
      <c r="D931" s="17" t="s">
        <v>92</v>
      </c>
      <c r="E931" s="17" t="n">
        <v>16</v>
      </c>
      <c r="F931" s="18" t="n">
        <v>120</v>
      </c>
      <c r="G931" s="19" t="n">
        <v>0.05</v>
      </c>
      <c r="H931" s="18" t="n">
        <v>1824</v>
      </c>
      <c r="I931" s="20"/>
    </row>
    <row r="932" customFormat="false" ht="15" hidden="false" customHeight="false" outlineLevel="0" collapsed="false">
      <c r="A932" s="16" t="n">
        <v>45943</v>
      </c>
      <c r="B932" s="17" t="s">
        <v>1025</v>
      </c>
      <c r="C932" s="17" t="s">
        <v>73</v>
      </c>
      <c r="D932" s="17" t="s">
        <v>92</v>
      </c>
      <c r="E932" s="17" t="n">
        <v>5</v>
      </c>
      <c r="F932" s="18" t="n">
        <v>1450</v>
      </c>
      <c r="G932" s="19" t="n">
        <v>0</v>
      </c>
      <c r="H932" s="18" t="n">
        <v>7250</v>
      </c>
      <c r="I932" s="20"/>
    </row>
    <row r="933" customFormat="false" ht="15" hidden="false" customHeight="false" outlineLevel="0" collapsed="false">
      <c r="A933" s="16" t="n">
        <v>45944</v>
      </c>
      <c r="B933" s="17" t="s">
        <v>1026</v>
      </c>
      <c r="C933" s="17" t="s">
        <v>73</v>
      </c>
      <c r="D933" s="17" t="s">
        <v>98</v>
      </c>
      <c r="E933" s="17" t="n">
        <v>1</v>
      </c>
      <c r="F933" s="18" t="n">
        <v>1450</v>
      </c>
      <c r="G933" s="19" t="n">
        <v>0</v>
      </c>
      <c r="H933" s="18" t="n">
        <v>1450</v>
      </c>
      <c r="I933" s="20"/>
    </row>
    <row r="934" customFormat="false" ht="15" hidden="false" customHeight="false" outlineLevel="0" collapsed="false">
      <c r="A934" s="16" t="n">
        <v>45945</v>
      </c>
      <c r="B934" s="17" t="s">
        <v>1027</v>
      </c>
      <c r="C934" s="17" t="s">
        <v>81</v>
      </c>
      <c r="D934" s="17" t="s">
        <v>102</v>
      </c>
      <c r="E934" s="17" t="n">
        <v>6</v>
      </c>
      <c r="F934" s="18" t="n">
        <v>60</v>
      </c>
      <c r="G934" s="19" t="n">
        <v>0</v>
      </c>
      <c r="H934" s="18" t="n">
        <v>360</v>
      </c>
      <c r="I934" s="20"/>
    </row>
    <row r="935" customFormat="false" ht="15" hidden="false" customHeight="false" outlineLevel="0" collapsed="false">
      <c r="A935" s="16" t="n">
        <v>45946</v>
      </c>
      <c r="B935" s="17" t="s">
        <v>1028</v>
      </c>
      <c r="C935" s="17" t="s">
        <v>70</v>
      </c>
      <c r="D935" s="17" t="s">
        <v>102</v>
      </c>
      <c r="E935" s="17" t="n">
        <v>5</v>
      </c>
      <c r="F935" s="18" t="n">
        <v>850</v>
      </c>
      <c r="G935" s="19" t="n">
        <v>0.05</v>
      </c>
      <c r="H935" s="18" t="n">
        <v>4037.5</v>
      </c>
      <c r="I935" s="20"/>
    </row>
    <row r="936" customFormat="false" ht="15" hidden="false" customHeight="false" outlineLevel="0" collapsed="false">
      <c r="A936" s="16" t="n">
        <v>45947</v>
      </c>
      <c r="B936" s="17" t="s">
        <v>1029</v>
      </c>
      <c r="C936" s="17" t="s">
        <v>78</v>
      </c>
      <c r="D936" s="17" t="s">
        <v>102</v>
      </c>
      <c r="E936" s="17" t="n">
        <v>9</v>
      </c>
      <c r="F936" s="18" t="n">
        <v>95</v>
      </c>
      <c r="G936" s="19" t="n">
        <v>0.05</v>
      </c>
      <c r="H936" s="18" t="n">
        <v>812.25</v>
      </c>
      <c r="I936" s="20"/>
    </row>
    <row r="937" customFormat="false" ht="15" hidden="false" customHeight="false" outlineLevel="0" collapsed="false">
      <c r="A937" s="16" t="n">
        <v>45947</v>
      </c>
      <c r="B937" s="17" t="s">
        <v>1030</v>
      </c>
      <c r="C937" s="17" t="s">
        <v>75</v>
      </c>
      <c r="D937" s="17" t="s">
        <v>98</v>
      </c>
      <c r="E937" s="17" t="n">
        <v>16</v>
      </c>
      <c r="F937" s="18" t="n">
        <v>120</v>
      </c>
      <c r="G937" s="19" t="n">
        <v>0</v>
      </c>
      <c r="H937" s="18" t="n">
        <v>1920</v>
      </c>
      <c r="I937" s="20"/>
    </row>
    <row r="938" customFormat="false" ht="15" hidden="false" customHeight="false" outlineLevel="0" collapsed="false">
      <c r="A938" s="16" t="n">
        <v>45948</v>
      </c>
      <c r="B938" s="17" t="s">
        <v>1031</v>
      </c>
      <c r="C938" s="17" t="s">
        <v>73</v>
      </c>
      <c r="D938" s="17" t="s">
        <v>102</v>
      </c>
      <c r="E938" s="17" t="n">
        <v>5</v>
      </c>
      <c r="F938" s="18" t="n">
        <v>1450</v>
      </c>
      <c r="G938" s="19" t="n">
        <v>0</v>
      </c>
      <c r="H938" s="18" t="n">
        <v>7250</v>
      </c>
      <c r="I938" s="20"/>
    </row>
    <row r="939" customFormat="false" ht="15" hidden="false" customHeight="false" outlineLevel="0" collapsed="false">
      <c r="A939" s="16" t="n">
        <v>45948</v>
      </c>
      <c r="B939" s="17" t="s">
        <v>1032</v>
      </c>
      <c r="C939" s="17" t="s">
        <v>73</v>
      </c>
      <c r="D939" s="17" t="s">
        <v>92</v>
      </c>
      <c r="E939" s="17" t="n">
        <v>18</v>
      </c>
      <c r="F939" s="18" t="n">
        <v>1450</v>
      </c>
      <c r="G939" s="19" t="n">
        <v>0</v>
      </c>
      <c r="H939" s="18" t="n">
        <v>26100</v>
      </c>
      <c r="I939" s="20"/>
    </row>
    <row r="940" customFormat="false" ht="15" hidden="false" customHeight="false" outlineLevel="0" collapsed="false">
      <c r="A940" s="16" t="n">
        <v>45948</v>
      </c>
      <c r="B940" s="17" t="s">
        <v>1033</v>
      </c>
      <c r="C940" s="17" t="s">
        <v>75</v>
      </c>
      <c r="D940" s="17" t="s">
        <v>98</v>
      </c>
      <c r="E940" s="17" t="n">
        <v>14</v>
      </c>
      <c r="F940" s="18" t="n">
        <v>120</v>
      </c>
      <c r="G940" s="19" t="n">
        <v>0.1</v>
      </c>
      <c r="H940" s="18" t="n">
        <v>1512</v>
      </c>
      <c r="I940" s="20"/>
    </row>
    <row r="941" customFormat="false" ht="15" hidden="false" customHeight="false" outlineLevel="0" collapsed="false">
      <c r="A941" s="16" t="n">
        <v>45948</v>
      </c>
      <c r="B941" s="17" t="s">
        <v>1034</v>
      </c>
      <c r="C941" s="17" t="s">
        <v>70</v>
      </c>
      <c r="D941" s="17" t="s">
        <v>92</v>
      </c>
      <c r="E941" s="17" t="n">
        <v>1</v>
      </c>
      <c r="F941" s="18" t="n">
        <v>850</v>
      </c>
      <c r="G941" s="19" t="n">
        <v>0</v>
      </c>
      <c r="H941" s="18" t="n">
        <v>850</v>
      </c>
      <c r="I941" s="20"/>
    </row>
    <row r="942" customFormat="false" ht="15" hidden="false" customHeight="false" outlineLevel="0" collapsed="false">
      <c r="A942" s="16" t="n">
        <v>45948</v>
      </c>
      <c r="B942" s="17" t="s">
        <v>1035</v>
      </c>
      <c r="C942" s="17" t="s">
        <v>75</v>
      </c>
      <c r="D942" s="17" t="s">
        <v>98</v>
      </c>
      <c r="E942" s="17" t="n">
        <v>15</v>
      </c>
      <c r="F942" s="18" t="n">
        <v>120</v>
      </c>
      <c r="G942" s="19" t="n">
        <v>0.05</v>
      </c>
      <c r="H942" s="18" t="n">
        <v>1710</v>
      </c>
      <c r="I942" s="20"/>
    </row>
    <row r="943" customFormat="false" ht="15" hidden="false" customHeight="false" outlineLevel="0" collapsed="false">
      <c r="A943" s="16" t="n">
        <v>45948</v>
      </c>
      <c r="B943" s="17" t="s">
        <v>1036</v>
      </c>
      <c r="C943" s="17" t="s">
        <v>81</v>
      </c>
      <c r="D943" s="17" t="s">
        <v>98</v>
      </c>
      <c r="E943" s="17" t="n">
        <v>16</v>
      </c>
      <c r="F943" s="18" t="n">
        <v>60</v>
      </c>
      <c r="G943" s="19" t="n">
        <v>0</v>
      </c>
      <c r="H943" s="18" t="n">
        <v>960</v>
      </c>
      <c r="I943" s="20"/>
    </row>
    <row r="944" customFormat="false" ht="15" hidden="false" customHeight="false" outlineLevel="0" collapsed="false">
      <c r="A944" s="16" t="n">
        <v>45948</v>
      </c>
      <c r="B944" s="17" t="s">
        <v>1037</v>
      </c>
      <c r="C944" s="17" t="s">
        <v>75</v>
      </c>
      <c r="D944" s="17" t="s">
        <v>92</v>
      </c>
      <c r="E944" s="17" t="n">
        <v>5</v>
      </c>
      <c r="F944" s="18" t="n">
        <v>120</v>
      </c>
      <c r="G944" s="19" t="n">
        <v>0</v>
      </c>
      <c r="H944" s="18" t="n">
        <v>600</v>
      </c>
      <c r="I944" s="20"/>
    </row>
    <row r="945" customFormat="false" ht="15" hidden="false" customHeight="false" outlineLevel="0" collapsed="false">
      <c r="A945" s="16" t="n">
        <v>45948</v>
      </c>
      <c r="B945" s="17" t="s">
        <v>1038</v>
      </c>
      <c r="C945" s="17" t="s">
        <v>75</v>
      </c>
      <c r="D945" s="17" t="s">
        <v>102</v>
      </c>
      <c r="E945" s="17" t="n">
        <v>15</v>
      </c>
      <c r="F945" s="18" t="n">
        <v>120</v>
      </c>
      <c r="G945" s="19" t="n">
        <v>0</v>
      </c>
      <c r="H945" s="18" t="n">
        <v>1800</v>
      </c>
      <c r="I945" s="20"/>
    </row>
    <row r="946" customFormat="false" ht="15" hidden="false" customHeight="false" outlineLevel="0" collapsed="false">
      <c r="A946" s="16" t="n">
        <v>45949</v>
      </c>
      <c r="B946" s="17" t="s">
        <v>1039</v>
      </c>
      <c r="C946" s="17" t="s">
        <v>70</v>
      </c>
      <c r="D946" s="17" t="s">
        <v>92</v>
      </c>
      <c r="E946" s="17" t="n">
        <v>11</v>
      </c>
      <c r="F946" s="18" t="n">
        <v>850</v>
      </c>
      <c r="G946" s="19" t="n">
        <v>0.1</v>
      </c>
      <c r="H946" s="18" t="n">
        <v>8415</v>
      </c>
      <c r="I946" s="20"/>
    </row>
    <row r="947" customFormat="false" ht="15" hidden="false" customHeight="false" outlineLevel="0" collapsed="false">
      <c r="A947" s="16" t="n">
        <v>45949</v>
      </c>
      <c r="B947" s="17" t="s">
        <v>1040</v>
      </c>
      <c r="C947" s="17" t="s">
        <v>78</v>
      </c>
      <c r="D947" s="17" t="s">
        <v>98</v>
      </c>
      <c r="E947" s="17" t="n">
        <v>8</v>
      </c>
      <c r="F947" s="18" t="n">
        <v>95</v>
      </c>
      <c r="G947" s="19" t="n">
        <v>0.1</v>
      </c>
      <c r="H947" s="18" t="n">
        <v>684</v>
      </c>
      <c r="I947" s="20"/>
    </row>
    <row r="948" customFormat="false" ht="15" hidden="false" customHeight="false" outlineLevel="0" collapsed="false">
      <c r="A948" s="16" t="n">
        <v>45949</v>
      </c>
      <c r="B948" s="17" t="s">
        <v>1041</v>
      </c>
      <c r="C948" s="17" t="s">
        <v>78</v>
      </c>
      <c r="D948" s="17" t="s">
        <v>98</v>
      </c>
      <c r="E948" s="17" t="n">
        <v>10</v>
      </c>
      <c r="F948" s="18" t="n">
        <v>95</v>
      </c>
      <c r="G948" s="19" t="n">
        <v>0.1</v>
      </c>
      <c r="H948" s="18" t="n">
        <v>855</v>
      </c>
      <c r="I948" s="20"/>
    </row>
    <row r="949" customFormat="false" ht="15" hidden="false" customHeight="false" outlineLevel="0" collapsed="false">
      <c r="A949" s="16" t="n">
        <v>45950</v>
      </c>
      <c r="B949" s="17" t="s">
        <v>1042</v>
      </c>
      <c r="C949" s="17" t="s">
        <v>75</v>
      </c>
      <c r="D949" s="17" t="s">
        <v>102</v>
      </c>
      <c r="E949" s="17" t="n">
        <v>3</v>
      </c>
      <c r="F949" s="18" t="n">
        <v>120</v>
      </c>
      <c r="G949" s="19" t="n">
        <v>0</v>
      </c>
      <c r="H949" s="18" t="n">
        <v>360</v>
      </c>
      <c r="I949" s="20"/>
    </row>
    <row r="950" customFormat="false" ht="15" hidden="false" customHeight="false" outlineLevel="0" collapsed="false">
      <c r="A950" s="16" t="n">
        <v>45950</v>
      </c>
      <c r="B950" s="17" t="s">
        <v>1043</v>
      </c>
      <c r="C950" s="17" t="s">
        <v>73</v>
      </c>
      <c r="D950" s="17" t="s">
        <v>98</v>
      </c>
      <c r="E950" s="17" t="n">
        <v>2</v>
      </c>
      <c r="F950" s="18" t="n">
        <v>1450</v>
      </c>
      <c r="G950" s="19" t="n">
        <v>0</v>
      </c>
      <c r="H950" s="18" t="n">
        <v>2900</v>
      </c>
      <c r="I950" s="20"/>
    </row>
    <row r="951" customFormat="false" ht="15" hidden="false" customHeight="false" outlineLevel="0" collapsed="false">
      <c r="A951" s="16" t="n">
        <v>45950</v>
      </c>
      <c r="B951" s="17" t="s">
        <v>1044</v>
      </c>
      <c r="C951" s="17" t="s">
        <v>81</v>
      </c>
      <c r="D951" s="17" t="s">
        <v>92</v>
      </c>
      <c r="E951" s="17" t="n">
        <v>16</v>
      </c>
      <c r="F951" s="18" t="n">
        <v>60</v>
      </c>
      <c r="G951" s="19" t="n">
        <v>0.1</v>
      </c>
      <c r="H951" s="18" t="n">
        <v>864</v>
      </c>
      <c r="I951" s="20"/>
    </row>
    <row r="952" customFormat="false" ht="15" hidden="false" customHeight="false" outlineLevel="0" collapsed="false">
      <c r="A952" s="16" t="n">
        <v>45950</v>
      </c>
      <c r="B952" s="17" t="s">
        <v>1045</v>
      </c>
      <c r="C952" s="17" t="s">
        <v>78</v>
      </c>
      <c r="D952" s="17" t="s">
        <v>92</v>
      </c>
      <c r="E952" s="17" t="n">
        <v>1</v>
      </c>
      <c r="F952" s="18" t="n">
        <v>95</v>
      </c>
      <c r="G952" s="19" t="n">
        <v>0</v>
      </c>
      <c r="H952" s="18" t="n">
        <v>95</v>
      </c>
      <c r="I952" s="20"/>
    </row>
    <row r="953" customFormat="false" ht="15" hidden="false" customHeight="false" outlineLevel="0" collapsed="false">
      <c r="A953" s="16" t="n">
        <v>45950</v>
      </c>
      <c r="B953" s="17" t="s">
        <v>1046</v>
      </c>
      <c r="C953" s="17" t="s">
        <v>75</v>
      </c>
      <c r="D953" s="17" t="s">
        <v>98</v>
      </c>
      <c r="E953" s="17" t="n">
        <v>4</v>
      </c>
      <c r="F953" s="18" t="n">
        <v>120</v>
      </c>
      <c r="G953" s="19" t="n">
        <v>0.05</v>
      </c>
      <c r="H953" s="18" t="n">
        <v>456</v>
      </c>
      <c r="I953" s="20"/>
    </row>
    <row r="954" customFormat="false" ht="15" hidden="false" customHeight="false" outlineLevel="0" collapsed="false">
      <c r="A954" s="16" t="n">
        <v>45951</v>
      </c>
      <c r="B954" s="17" t="s">
        <v>1047</v>
      </c>
      <c r="C954" s="17" t="s">
        <v>81</v>
      </c>
      <c r="D954" s="17" t="s">
        <v>102</v>
      </c>
      <c r="E954" s="17" t="n">
        <v>9</v>
      </c>
      <c r="F954" s="18" t="n">
        <v>60</v>
      </c>
      <c r="G954" s="19" t="n">
        <v>0</v>
      </c>
      <c r="H954" s="18" t="n">
        <v>540</v>
      </c>
      <c r="I954" s="20"/>
    </row>
    <row r="955" customFormat="false" ht="15" hidden="false" customHeight="false" outlineLevel="0" collapsed="false">
      <c r="A955" s="16" t="n">
        <v>45951</v>
      </c>
      <c r="B955" s="17" t="s">
        <v>1048</v>
      </c>
      <c r="C955" s="17" t="s">
        <v>78</v>
      </c>
      <c r="D955" s="17" t="s">
        <v>96</v>
      </c>
      <c r="E955" s="17" t="n">
        <v>6</v>
      </c>
      <c r="F955" s="18" t="n">
        <v>95</v>
      </c>
      <c r="G955" s="19" t="n">
        <v>0</v>
      </c>
      <c r="H955" s="18" t="n">
        <v>570</v>
      </c>
      <c r="I955" s="20"/>
    </row>
    <row r="956" customFormat="false" ht="15" hidden="false" customHeight="false" outlineLevel="0" collapsed="false">
      <c r="A956" s="16" t="n">
        <v>45951</v>
      </c>
      <c r="B956" s="17" t="s">
        <v>1049</v>
      </c>
      <c r="C956" s="17" t="s">
        <v>75</v>
      </c>
      <c r="D956" s="17" t="s">
        <v>102</v>
      </c>
      <c r="E956" s="17" t="n">
        <v>2</v>
      </c>
      <c r="F956" s="18" t="n">
        <v>120</v>
      </c>
      <c r="G956" s="19" t="n">
        <v>0.05</v>
      </c>
      <c r="H956" s="18" t="n">
        <v>228</v>
      </c>
      <c r="I956" s="20"/>
    </row>
    <row r="957" customFormat="false" ht="15" hidden="false" customHeight="false" outlineLevel="0" collapsed="false">
      <c r="A957" s="16" t="n">
        <v>45952</v>
      </c>
      <c r="B957" s="17" t="s">
        <v>1050</v>
      </c>
      <c r="C957" s="17" t="s">
        <v>75</v>
      </c>
      <c r="D957" s="17" t="s">
        <v>98</v>
      </c>
      <c r="E957" s="17" t="n">
        <v>5</v>
      </c>
      <c r="F957" s="18" t="n">
        <v>120</v>
      </c>
      <c r="G957" s="19" t="n">
        <v>0</v>
      </c>
      <c r="H957" s="18" t="n">
        <v>600</v>
      </c>
      <c r="I957" s="20"/>
    </row>
    <row r="958" customFormat="false" ht="15" hidden="false" customHeight="false" outlineLevel="0" collapsed="false">
      <c r="A958" s="16" t="n">
        <v>45952</v>
      </c>
      <c r="B958" s="17" t="s">
        <v>1051</v>
      </c>
      <c r="C958" s="17" t="s">
        <v>70</v>
      </c>
      <c r="D958" s="17" t="s">
        <v>102</v>
      </c>
      <c r="E958" s="17" t="n">
        <v>15</v>
      </c>
      <c r="F958" s="18" t="n">
        <v>850</v>
      </c>
      <c r="G958" s="19" t="n">
        <v>0</v>
      </c>
      <c r="H958" s="18" t="n">
        <v>12750</v>
      </c>
      <c r="I958" s="20"/>
    </row>
    <row r="959" customFormat="false" ht="15" hidden="false" customHeight="false" outlineLevel="0" collapsed="false">
      <c r="A959" s="16" t="n">
        <v>45953</v>
      </c>
      <c r="B959" s="17" t="s">
        <v>1052</v>
      </c>
      <c r="C959" s="17" t="s">
        <v>78</v>
      </c>
      <c r="D959" s="17" t="s">
        <v>96</v>
      </c>
      <c r="E959" s="17" t="n">
        <v>8</v>
      </c>
      <c r="F959" s="18" t="n">
        <v>95</v>
      </c>
      <c r="G959" s="19" t="n">
        <v>0.05</v>
      </c>
      <c r="H959" s="18" t="n">
        <v>722</v>
      </c>
      <c r="I959" s="20"/>
    </row>
    <row r="960" customFormat="false" ht="15" hidden="false" customHeight="false" outlineLevel="0" collapsed="false">
      <c r="A960" s="16" t="n">
        <v>45954</v>
      </c>
      <c r="B960" s="17" t="s">
        <v>1053</v>
      </c>
      <c r="C960" s="17" t="s">
        <v>81</v>
      </c>
      <c r="D960" s="17" t="s">
        <v>92</v>
      </c>
      <c r="E960" s="17" t="n">
        <v>3</v>
      </c>
      <c r="F960" s="18" t="n">
        <v>60</v>
      </c>
      <c r="G960" s="19" t="n">
        <v>0.1</v>
      </c>
      <c r="H960" s="18" t="n">
        <v>162</v>
      </c>
      <c r="I960" s="20"/>
    </row>
    <row r="961" customFormat="false" ht="15" hidden="false" customHeight="false" outlineLevel="0" collapsed="false">
      <c r="A961" s="16" t="n">
        <v>45954</v>
      </c>
      <c r="B961" s="17" t="s">
        <v>1054</v>
      </c>
      <c r="C961" s="17" t="s">
        <v>78</v>
      </c>
      <c r="D961" s="17" t="s">
        <v>92</v>
      </c>
      <c r="E961" s="17" t="n">
        <v>3</v>
      </c>
      <c r="F961" s="18" t="n">
        <v>95</v>
      </c>
      <c r="G961" s="19" t="n">
        <v>0</v>
      </c>
      <c r="H961" s="18" t="n">
        <v>285</v>
      </c>
      <c r="I961" s="20"/>
    </row>
    <row r="962" customFormat="false" ht="15" hidden="false" customHeight="false" outlineLevel="0" collapsed="false">
      <c r="A962" s="16" t="n">
        <v>45954</v>
      </c>
      <c r="B962" s="17" t="s">
        <v>1055</v>
      </c>
      <c r="C962" s="17" t="s">
        <v>81</v>
      </c>
      <c r="D962" s="17" t="s">
        <v>98</v>
      </c>
      <c r="E962" s="17" t="n">
        <v>9</v>
      </c>
      <c r="F962" s="18" t="n">
        <v>60</v>
      </c>
      <c r="G962" s="19" t="n">
        <v>0</v>
      </c>
      <c r="H962" s="18" t="n">
        <v>540</v>
      </c>
      <c r="I962" s="20"/>
    </row>
    <row r="963" customFormat="false" ht="15" hidden="false" customHeight="false" outlineLevel="0" collapsed="false">
      <c r="A963" s="16" t="n">
        <v>45954</v>
      </c>
      <c r="B963" s="17" t="s">
        <v>1056</v>
      </c>
      <c r="C963" s="17" t="s">
        <v>78</v>
      </c>
      <c r="D963" s="17" t="s">
        <v>98</v>
      </c>
      <c r="E963" s="17" t="n">
        <v>2</v>
      </c>
      <c r="F963" s="18" t="n">
        <v>95</v>
      </c>
      <c r="G963" s="19" t="n">
        <v>0.1</v>
      </c>
      <c r="H963" s="18" t="n">
        <v>171</v>
      </c>
      <c r="I963" s="20"/>
    </row>
    <row r="964" customFormat="false" ht="15" hidden="false" customHeight="false" outlineLevel="0" collapsed="false">
      <c r="A964" s="16" t="n">
        <v>45954</v>
      </c>
      <c r="B964" s="17" t="s">
        <v>1057</v>
      </c>
      <c r="C964" s="17" t="s">
        <v>73</v>
      </c>
      <c r="D964" s="17" t="s">
        <v>92</v>
      </c>
      <c r="E964" s="17" t="n">
        <v>9</v>
      </c>
      <c r="F964" s="18" t="n">
        <v>1450</v>
      </c>
      <c r="G964" s="19" t="n">
        <v>0</v>
      </c>
      <c r="H964" s="18" t="n">
        <v>13050</v>
      </c>
      <c r="I964" s="20"/>
    </row>
    <row r="965" customFormat="false" ht="15" hidden="false" customHeight="false" outlineLevel="0" collapsed="false">
      <c r="A965" s="16" t="n">
        <v>45955</v>
      </c>
      <c r="B965" s="17" t="s">
        <v>1058</v>
      </c>
      <c r="C965" s="17" t="s">
        <v>70</v>
      </c>
      <c r="D965" s="17" t="s">
        <v>96</v>
      </c>
      <c r="E965" s="17" t="n">
        <v>17</v>
      </c>
      <c r="F965" s="18" t="n">
        <v>850</v>
      </c>
      <c r="G965" s="19" t="n">
        <v>0.05</v>
      </c>
      <c r="H965" s="18" t="n">
        <v>13727.5</v>
      </c>
      <c r="I965" s="20"/>
    </row>
    <row r="966" customFormat="false" ht="15" hidden="false" customHeight="false" outlineLevel="0" collapsed="false">
      <c r="A966" s="16" t="n">
        <v>45955</v>
      </c>
      <c r="B966" s="17" t="s">
        <v>1059</v>
      </c>
      <c r="C966" s="17" t="s">
        <v>75</v>
      </c>
      <c r="D966" s="17" t="s">
        <v>98</v>
      </c>
      <c r="E966" s="17" t="n">
        <v>14</v>
      </c>
      <c r="F966" s="18" t="n">
        <v>120</v>
      </c>
      <c r="G966" s="19" t="n">
        <v>0.1</v>
      </c>
      <c r="H966" s="18" t="n">
        <v>1512</v>
      </c>
      <c r="I966" s="20"/>
    </row>
    <row r="967" customFormat="false" ht="15" hidden="false" customHeight="false" outlineLevel="0" collapsed="false">
      <c r="A967" s="16" t="n">
        <v>45955</v>
      </c>
      <c r="B967" s="17" t="s">
        <v>1060</v>
      </c>
      <c r="C967" s="17" t="s">
        <v>78</v>
      </c>
      <c r="D967" s="17" t="s">
        <v>92</v>
      </c>
      <c r="E967" s="17" t="n">
        <v>15</v>
      </c>
      <c r="F967" s="18" t="n">
        <v>95</v>
      </c>
      <c r="G967" s="19" t="n">
        <v>0</v>
      </c>
      <c r="H967" s="18" t="n">
        <v>1425</v>
      </c>
      <c r="I967" s="20"/>
    </row>
    <row r="968" customFormat="false" ht="15" hidden="false" customHeight="false" outlineLevel="0" collapsed="false">
      <c r="A968" s="16" t="n">
        <v>45956</v>
      </c>
      <c r="B968" s="17" t="s">
        <v>1061</v>
      </c>
      <c r="C968" s="17" t="s">
        <v>73</v>
      </c>
      <c r="D968" s="17" t="s">
        <v>102</v>
      </c>
      <c r="E968" s="17" t="n">
        <v>14</v>
      </c>
      <c r="F968" s="18" t="n">
        <v>1450</v>
      </c>
      <c r="G968" s="19" t="n">
        <v>0</v>
      </c>
      <c r="H968" s="18" t="n">
        <v>20300</v>
      </c>
      <c r="I968" s="20"/>
    </row>
    <row r="969" customFormat="false" ht="15" hidden="false" customHeight="false" outlineLevel="0" collapsed="false">
      <c r="A969" s="16" t="n">
        <v>45956</v>
      </c>
      <c r="B969" s="17" t="s">
        <v>1062</v>
      </c>
      <c r="C969" s="17" t="s">
        <v>81</v>
      </c>
      <c r="D969" s="17" t="s">
        <v>102</v>
      </c>
      <c r="E969" s="17" t="n">
        <v>18</v>
      </c>
      <c r="F969" s="18" t="n">
        <v>60</v>
      </c>
      <c r="G969" s="19" t="n">
        <v>0.1</v>
      </c>
      <c r="H969" s="18" t="n">
        <v>972</v>
      </c>
      <c r="I969" s="20"/>
    </row>
    <row r="970" customFormat="false" ht="15" hidden="false" customHeight="false" outlineLevel="0" collapsed="false">
      <c r="A970" s="16" t="n">
        <v>45956</v>
      </c>
      <c r="B970" s="17" t="s">
        <v>1063</v>
      </c>
      <c r="C970" s="17" t="s">
        <v>73</v>
      </c>
      <c r="D970" s="17" t="s">
        <v>102</v>
      </c>
      <c r="E970" s="17" t="n">
        <v>18</v>
      </c>
      <c r="F970" s="18" t="n">
        <v>1450</v>
      </c>
      <c r="G970" s="19" t="n">
        <v>0.1</v>
      </c>
      <c r="H970" s="18" t="n">
        <v>23490</v>
      </c>
      <c r="I970" s="20"/>
    </row>
    <row r="971" customFormat="false" ht="15" hidden="false" customHeight="false" outlineLevel="0" collapsed="false">
      <c r="A971" s="16" t="n">
        <v>45956</v>
      </c>
      <c r="B971" s="17" t="s">
        <v>1064</v>
      </c>
      <c r="C971" s="17" t="s">
        <v>78</v>
      </c>
      <c r="D971" s="17" t="s">
        <v>98</v>
      </c>
      <c r="E971" s="17" t="n">
        <v>11</v>
      </c>
      <c r="F971" s="18" t="n">
        <v>95</v>
      </c>
      <c r="G971" s="19" t="n">
        <v>0</v>
      </c>
      <c r="H971" s="18" t="n">
        <v>1045</v>
      </c>
      <c r="I971" s="20"/>
    </row>
    <row r="972" customFormat="false" ht="15" hidden="false" customHeight="false" outlineLevel="0" collapsed="false">
      <c r="A972" s="16" t="n">
        <v>45957</v>
      </c>
      <c r="B972" s="17" t="s">
        <v>1065</v>
      </c>
      <c r="C972" s="17" t="s">
        <v>81</v>
      </c>
      <c r="D972" s="17" t="s">
        <v>92</v>
      </c>
      <c r="E972" s="17" t="n">
        <v>5</v>
      </c>
      <c r="F972" s="18" t="n">
        <v>60</v>
      </c>
      <c r="G972" s="19" t="n">
        <v>0.05</v>
      </c>
      <c r="H972" s="18" t="n">
        <v>285</v>
      </c>
      <c r="I972" s="20"/>
    </row>
    <row r="973" customFormat="false" ht="15" hidden="false" customHeight="false" outlineLevel="0" collapsed="false">
      <c r="A973" s="16" t="n">
        <v>45957</v>
      </c>
      <c r="B973" s="17" t="s">
        <v>1066</v>
      </c>
      <c r="C973" s="17" t="s">
        <v>73</v>
      </c>
      <c r="D973" s="17" t="s">
        <v>102</v>
      </c>
      <c r="E973" s="17" t="n">
        <v>15</v>
      </c>
      <c r="F973" s="18" t="n">
        <v>1450</v>
      </c>
      <c r="G973" s="19" t="n">
        <v>0.05</v>
      </c>
      <c r="H973" s="18" t="n">
        <v>20662.5</v>
      </c>
      <c r="I973" s="20"/>
    </row>
    <row r="974" customFormat="false" ht="15" hidden="false" customHeight="false" outlineLevel="0" collapsed="false">
      <c r="A974" s="16" t="n">
        <v>45957</v>
      </c>
      <c r="B974" s="17" t="s">
        <v>1067</v>
      </c>
      <c r="C974" s="17" t="s">
        <v>75</v>
      </c>
      <c r="D974" s="17" t="s">
        <v>98</v>
      </c>
      <c r="E974" s="17" t="n">
        <v>2</v>
      </c>
      <c r="F974" s="18" t="n">
        <v>120</v>
      </c>
      <c r="G974" s="19" t="n">
        <v>0.05</v>
      </c>
      <c r="H974" s="18" t="n">
        <v>228</v>
      </c>
      <c r="I974" s="20"/>
    </row>
    <row r="975" customFormat="false" ht="15" hidden="false" customHeight="false" outlineLevel="0" collapsed="false">
      <c r="A975" s="16" t="n">
        <v>45957</v>
      </c>
      <c r="B975" s="17" t="s">
        <v>1068</v>
      </c>
      <c r="C975" s="17" t="s">
        <v>70</v>
      </c>
      <c r="D975" s="17" t="s">
        <v>102</v>
      </c>
      <c r="E975" s="17" t="n">
        <v>9</v>
      </c>
      <c r="F975" s="18" t="n">
        <v>850</v>
      </c>
      <c r="G975" s="19" t="n">
        <v>0</v>
      </c>
      <c r="H975" s="18" t="n">
        <v>7650</v>
      </c>
      <c r="I975" s="20"/>
    </row>
    <row r="976" customFormat="false" ht="15" hidden="false" customHeight="false" outlineLevel="0" collapsed="false">
      <c r="A976" s="16" t="n">
        <v>45958</v>
      </c>
      <c r="B976" s="17" t="s">
        <v>1069</v>
      </c>
      <c r="C976" s="17" t="s">
        <v>70</v>
      </c>
      <c r="D976" s="17" t="s">
        <v>96</v>
      </c>
      <c r="E976" s="17" t="n">
        <v>11</v>
      </c>
      <c r="F976" s="18" t="n">
        <v>850</v>
      </c>
      <c r="G976" s="19" t="n">
        <v>0</v>
      </c>
      <c r="H976" s="18" t="n">
        <v>9350</v>
      </c>
      <c r="I976" s="20"/>
    </row>
    <row r="977" customFormat="false" ht="15" hidden="false" customHeight="false" outlineLevel="0" collapsed="false">
      <c r="A977" s="16" t="n">
        <v>45958</v>
      </c>
      <c r="B977" s="17" t="s">
        <v>1070</v>
      </c>
      <c r="C977" s="17" t="s">
        <v>81</v>
      </c>
      <c r="D977" s="17" t="s">
        <v>102</v>
      </c>
      <c r="E977" s="17" t="n">
        <v>20</v>
      </c>
      <c r="F977" s="18" t="n">
        <v>60</v>
      </c>
      <c r="G977" s="19" t="n">
        <v>0</v>
      </c>
      <c r="H977" s="18" t="n">
        <v>1200</v>
      </c>
      <c r="I977" s="20"/>
    </row>
    <row r="978" customFormat="false" ht="15" hidden="false" customHeight="false" outlineLevel="0" collapsed="false">
      <c r="A978" s="16" t="n">
        <v>45958</v>
      </c>
      <c r="B978" s="17" t="s">
        <v>1071</v>
      </c>
      <c r="C978" s="17" t="s">
        <v>75</v>
      </c>
      <c r="D978" s="17" t="s">
        <v>98</v>
      </c>
      <c r="E978" s="17" t="n">
        <v>7</v>
      </c>
      <c r="F978" s="18" t="n">
        <v>120</v>
      </c>
      <c r="G978" s="19" t="n">
        <v>0</v>
      </c>
      <c r="H978" s="18" t="n">
        <v>840</v>
      </c>
      <c r="I978" s="20"/>
    </row>
    <row r="979" customFormat="false" ht="15" hidden="false" customHeight="false" outlineLevel="0" collapsed="false">
      <c r="A979" s="16" t="n">
        <v>45958</v>
      </c>
      <c r="B979" s="17" t="s">
        <v>1072</v>
      </c>
      <c r="C979" s="17" t="s">
        <v>73</v>
      </c>
      <c r="D979" s="17" t="s">
        <v>96</v>
      </c>
      <c r="E979" s="17" t="n">
        <v>18</v>
      </c>
      <c r="F979" s="18" t="n">
        <v>1450</v>
      </c>
      <c r="G979" s="19" t="n">
        <v>0</v>
      </c>
      <c r="H979" s="18" t="n">
        <v>26100</v>
      </c>
      <c r="I979" s="20"/>
    </row>
    <row r="980" customFormat="false" ht="15" hidden="false" customHeight="false" outlineLevel="0" collapsed="false">
      <c r="A980" s="16" t="n">
        <v>45962</v>
      </c>
      <c r="B980" s="17" t="s">
        <v>1073</v>
      </c>
      <c r="C980" s="17" t="s">
        <v>78</v>
      </c>
      <c r="D980" s="17" t="s">
        <v>98</v>
      </c>
      <c r="E980" s="17" t="n">
        <v>18</v>
      </c>
      <c r="F980" s="18" t="n">
        <v>95</v>
      </c>
      <c r="G980" s="19" t="n">
        <v>0.05</v>
      </c>
      <c r="H980" s="18" t="n">
        <v>1624.5</v>
      </c>
      <c r="I980" s="20"/>
    </row>
    <row r="981" customFormat="false" ht="15" hidden="false" customHeight="false" outlineLevel="0" collapsed="false">
      <c r="A981" s="16" t="n">
        <v>45962</v>
      </c>
      <c r="B981" s="17" t="s">
        <v>1074</v>
      </c>
      <c r="C981" s="17" t="s">
        <v>70</v>
      </c>
      <c r="D981" s="17" t="s">
        <v>92</v>
      </c>
      <c r="E981" s="17" t="n">
        <v>7</v>
      </c>
      <c r="F981" s="18" t="n">
        <v>850</v>
      </c>
      <c r="G981" s="19" t="n">
        <v>0</v>
      </c>
      <c r="H981" s="18" t="n">
        <v>5950</v>
      </c>
      <c r="I981" s="20"/>
    </row>
    <row r="982" customFormat="false" ht="15" hidden="false" customHeight="false" outlineLevel="0" collapsed="false">
      <c r="A982" s="16" t="n">
        <v>45963</v>
      </c>
      <c r="B982" s="17" t="s">
        <v>1075</v>
      </c>
      <c r="C982" s="17" t="s">
        <v>73</v>
      </c>
      <c r="D982" s="17" t="s">
        <v>98</v>
      </c>
      <c r="E982" s="17" t="n">
        <v>1</v>
      </c>
      <c r="F982" s="18" t="n">
        <v>1450</v>
      </c>
      <c r="G982" s="19" t="n">
        <v>0</v>
      </c>
      <c r="H982" s="18" t="n">
        <v>1450</v>
      </c>
      <c r="I982" s="20"/>
    </row>
    <row r="983" customFormat="false" ht="15" hidden="false" customHeight="false" outlineLevel="0" collapsed="false">
      <c r="A983" s="16" t="n">
        <v>45963</v>
      </c>
      <c r="B983" s="17" t="s">
        <v>1076</v>
      </c>
      <c r="C983" s="17" t="s">
        <v>73</v>
      </c>
      <c r="D983" s="17" t="s">
        <v>96</v>
      </c>
      <c r="E983" s="17" t="n">
        <v>10</v>
      </c>
      <c r="F983" s="18" t="n">
        <v>1450</v>
      </c>
      <c r="G983" s="19" t="n">
        <v>0.1</v>
      </c>
      <c r="H983" s="18" t="n">
        <v>13050</v>
      </c>
      <c r="I983" s="20"/>
    </row>
    <row r="984" customFormat="false" ht="15" hidden="false" customHeight="false" outlineLevel="0" collapsed="false">
      <c r="A984" s="16" t="n">
        <v>45963</v>
      </c>
      <c r="B984" s="17" t="s">
        <v>1077</v>
      </c>
      <c r="C984" s="17" t="s">
        <v>78</v>
      </c>
      <c r="D984" s="17" t="s">
        <v>102</v>
      </c>
      <c r="E984" s="17" t="n">
        <v>8</v>
      </c>
      <c r="F984" s="18" t="n">
        <v>95</v>
      </c>
      <c r="G984" s="19" t="n">
        <v>0.05</v>
      </c>
      <c r="H984" s="18" t="n">
        <v>722</v>
      </c>
      <c r="I984" s="20"/>
    </row>
    <row r="985" customFormat="false" ht="15" hidden="false" customHeight="false" outlineLevel="0" collapsed="false">
      <c r="A985" s="16" t="n">
        <v>45964</v>
      </c>
      <c r="B985" s="17" t="s">
        <v>1078</v>
      </c>
      <c r="C985" s="17" t="s">
        <v>81</v>
      </c>
      <c r="D985" s="17" t="s">
        <v>96</v>
      </c>
      <c r="E985" s="17" t="n">
        <v>16</v>
      </c>
      <c r="F985" s="18" t="n">
        <v>60</v>
      </c>
      <c r="G985" s="19" t="n">
        <v>0</v>
      </c>
      <c r="H985" s="18" t="n">
        <v>960</v>
      </c>
      <c r="I985" s="20"/>
    </row>
    <row r="986" customFormat="false" ht="15" hidden="false" customHeight="false" outlineLevel="0" collapsed="false">
      <c r="A986" s="16" t="n">
        <v>45964</v>
      </c>
      <c r="B986" s="17" t="s">
        <v>1079</v>
      </c>
      <c r="C986" s="17" t="s">
        <v>81</v>
      </c>
      <c r="D986" s="17" t="s">
        <v>96</v>
      </c>
      <c r="E986" s="17" t="n">
        <v>12</v>
      </c>
      <c r="F986" s="18" t="n">
        <v>60</v>
      </c>
      <c r="G986" s="19" t="n">
        <v>0</v>
      </c>
      <c r="H986" s="18" t="n">
        <v>720</v>
      </c>
      <c r="I986" s="20"/>
    </row>
    <row r="987" customFormat="false" ht="15" hidden="false" customHeight="false" outlineLevel="0" collapsed="false">
      <c r="A987" s="16" t="n">
        <v>45964</v>
      </c>
      <c r="B987" s="17" t="s">
        <v>1080</v>
      </c>
      <c r="C987" s="17" t="s">
        <v>75</v>
      </c>
      <c r="D987" s="17" t="s">
        <v>92</v>
      </c>
      <c r="E987" s="17" t="n">
        <v>8</v>
      </c>
      <c r="F987" s="18" t="n">
        <v>120</v>
      </c>
      <c r="G987" s="19" t="n">
        <v>0</v>
      </c>
      <c r="H987" s="18" t="n">
        <v>960</v>
      </c>
      <c r="I987" s="20"/>
    </row>
    <row r="988" customFormat="false" ht="15" hidden="false" customHeight="false" outlineLevel="0" collapsed="false">
      <c r="A988" s="16" t="n">
        <v>45964</v>
      </c>
      <c r="B988" s="17" t="s">
        <v>1081</v>
      </c>
      <c r="C988" s="17" t="s">
        <v>75</v>
      </c>
      <c r="D988" s="17" t="s">
        <v>96</v>
      </c>
      <c r="E988" s="17" t="n">
        <v>16</v>
      </c>
      <c r="F988" s="18" t="n">
        <v>120</v>
      </c>
      <c r="G988" s="19" t="n">
        <v>0.05</v>
      </c>
      <c r="H988" s="18" t="n">
        <v>1824</v>
      </c>
      <c r="I988" s="20"/>
    </row>
    <row r="989" customFormat="false" ht="15" hidden="false" customHeight="false" outlineLevel="0" collapsed="false">
      <c r="A989" s="16" t="n">
        <v>45964</v>
      </c>
      <c r="B989" s="17" t="s">
        <v>1082</v>
      </c>
      <c r="C989" s="17" t="s">
        <v>73</v>
      </c>
      <c r="D989" s="17" t="s">
        <v>92</v>
      </c>
      <c r="E989" s="17" t="n">
        <v>1</v>
      </c>
      <c r="F989" s="18" t="n">
        <v>1450</v>
      </c>
      <c r="G989" s="19" t="n">
        <v>0.1</v>
      </c>
      <c r="H989" s="18" t="n">
        <v>1305</v>
      </c>
      <c r="I989" s="20"/>
    </row>
    <row r="990" customFormat="false" ht="15" hidden="false" customHeight="false" outlineLevel="0" collapsed="false">
      <c r="A990" s="16" t="n">
        <v>45965</v>
      </c>
      <c r="B990" s="17" t="s">
        <v>1083</v>
      </c>
      <c r="C990" s="17" t="s">
        <v>70</v>
      </c>
      <c r="D990" s="17" t="s">
        <v>96</v>
      </c>
      <c r="E990" s="17" t="n">
        <v>2</v>
      </c>
      <c r="F990" s="18" t="n">
        <v>850</v>
      </c>
      <c r="G990" s="19" t="n">
        <v>0.05</v>
      </c>
      <c r="H990" s="18" t="n">
        <v>1615</v>
      </c>
      <c r="I990" s="20"/>
    </row>
    <row r="991" customFormat="false" ht="15" hidden="false" customHeight="false" outlineLevel="0" collapsed="false">
      <c r="A991" s="16" t="n">
        <v>45965</v>
      </c>
      <c r="B991" s="17" t="s">
        <v>1084</v>
      </c>
      <c r="C991" s="17" t="s">
        <v>78</v>
      </c>
      <c r="D991" s="17" t="s">
        <v>98</v>
      </c>
      <c r="E991" s="17" t="n">
        <v>5</v>
      </c>
      <c r="F991" s="18" t="n">
        <v>95</v>
      </c>
      <c r="G991" s="19" t="n">
        <v>0</v>
      </c>
      <c r="H991" s="18" t="n">
        <v>475</v>
      </c>
      <c r="I991" s="20"/>
    </row>
    <row r="992" customFormat="false" ht="15" hidden="false" customHeight="false" outlineLevel="0" collapsed="false">
      <c r="A992" s="16" t="n">
        <v>45965</v>
      </c>
      <c r="B992" s="17" t="s">
        <v>1085</v>
      </c>
      <c r="C992" s="17" t="s">
        <v>70</v>
      </c>
      <c r="D992" s="17" t="s">
        <v>96</v>
      </c>
      <c r="E992" s="17" t="n">
        <v>12</v>
      </c>
      <c r="F992" s="18" t="n">
        <v>850</v>
      </c>
      <c r="G992" s="19" t="n">
        <v>0</v>
      </c>
      <c r="H992" s="18" t="n">
        <v>10200</v>
      </c>
      <c r="I992" s="20"/>
    </row>
    <row r="993" customFormat="false" ht="15" hidden="false" customHeight="false" outlineLevel="0" collapsed="false">
      <c r="A993" s="16" t="n">
        <v>45965</v>
      </c>
      <c r="B993" s="17" t="s">
        <v>1086</v>
      </c>
      <c r="C993" s="17" t="s">
        <v>78</v>
      </c>
      <c r="D993" s="17" t="s">
        <v>92</v>
      </c>
      <c r="E993" s="17" t="n">
        <v>13</v>
      </c>
      <c r="F993" s="18" t="n">
        <v>95</v>
      </c>
      <c r="G993" s="19" t="n">
        <v>0</v>
      </c>
      <c r="H993" s="18" t="n">
        <v>1235</v>
      </c>
      <c r="I993" s="20"/>
    </row>
    <row r="994" customFormat="false" ht="15" hidden="false" customHeight="false" outlineLevel="0" collapsed="false">
      <c r="A994" s="16" t="n">
        <v>45966</v>
      </c>
      <c r="B994" s="17" t="s">
        <v>1087</v>
      </c>
      <c r="C994" s="17" t="s">
        <v>75</v>
      </c>
      <c r="D994" s="17" t="s">
        <v>92</v>
      </c>
      <c r="E994" s="17" t="n">
        <v>11</v>
      </c>
      <c r="F994" s="18" t="n">
        <v>120</v>
      </c>
      <c r="G994" s="19" t="n">
        <v>0.1</v>
      </c>
      <c r="H994" s="18" t="n">
        <v>1188</v>
      </c>
      <c r="I994" s="20"/>
    </row>
    <row r="995" customFormat="false" ht="15" hidden="false" customHeight="false" outlineLevel="0" collapsed="false">
      <c r="A995" s="16" t="n">
        <v>45966</v>
      </c>
      <c r="B995" s="17" t="s">
        <v>1088</v>
      </c>
      <c r="C995" s="17" t="s">
        <v>75</v>
      </c>
      <c r="D995" s="17" t="s">
        <v>96</v>
      </c>
      <c r="E995" s="17" t="n">
        <v>16</v>
      </c>
      <c r="F995" s="18" t="n">
        <v>120</v>
      </c>
      <c r="G995" s="19" t="n">
        <v>0</v>
      </c>
      <c r="H995" s="18" t="n">
        <v>1920</v>
      </c>
      <c r="I995" s="20"/>
    </row>
    <row r="996" customFormat="false" ht="15" hidden="false" customHeight="false" outlineLevel="0" collapsed="false">
      <c r="A996" s="16" t="n">
        <v>45966</v>
      </c>
      <c r="B996" s="17" t="s">
        <v>1089</v>
      </c>
      <c r="C996" s="17" t="s">
        <v>73</v>
      </c>
      <c r="D996" s="17" t="s">
        <v>98</v>
      </c>
      <c r="E996" s="17" t="n">
        <v>19</v>
      </c>
      <c r="F996" s="18" t="n">
        <v>1450</v>
      </c>
      <c r="G996" s="19" t="n">
        <v>0.05</v>
      </c>
      <c r="H996" s="18" t="n">
        <v>26172.5</v>
      </c>
      <c r="I996" s="20"/>
    </row>
    <row r="997" customFormat="false" ht="15" hidden="false" customHeight="false" outlineLevel="0" collapsed="false">
      <c r="A997" s="16" t="n">
        <v>45966</v>
      </c>
      <c r="B997" s="17" t="s">
        <v>1090</v>
      </c>
      <c r="C997" s="17" t="s">
        <v>78</v>
      </c>
      <c r="D997" s="17" t="s">
        <v>92</v>
      </c>
      <c r="E997" s="17" t="n">
        <v>9</v>
      </c>
      <c r="F997" s="18" t="n">
        <v>95</v>
      </c>
      <c r="G997" s="19" t="n">
        <v>0</v>
      </c>
      <c r="H997" s="18" t="n">
        <v>855</v>
      </c>
      <c r="I997" s="20"/>
    </row>
    <row r="998" customFormat="false" ht="15" hidden="false" customHeight="false" outlineLevel="0" collapsed="false">
      <c r="A998" s="16" t="n">
        <v>45966</v>
      </c>
      <c r="B998" s="17" t="s">
        <v>1091</v>
      </c>
      <c r="C998" s="17" t="s">
        <v>70</v>
      </c>
      <c r="D998" s="17" t="s">
        <v>96</v>
      </c>
      <c r="E998" s="17" t="n">
        <v>13</v>
      </c>
      <c r="F998" s="18" t="n">
        <v>850</v>
      </c>
      <c r="G998" s="19" t="n">
        <v>0</v>
      </c>
      <c r="H998" s="18" t="n">
        <v>11050</v>
      </c>
      <c r="I998" s="20"/>
    </row>
    <row r="999" customFormat="false" ht="15" hidden="false" customHeight="false" outlineLevel="0" collapsed="false">
      <c r="A999" s="16" t="n">
        <v>45966</v>
      </c>
      <c r="B999" s="17" t="s">
        <v>1092</v>
      </c>
      <c r="C999" s="17" t="s">
        <v>73</v>
      </c>
      <c r="D999" s="17" t="s">
        <v>96</v>
      </c>
      <c r="E999" s="17" t="n">
        <v>3</v>
      </c>
      <c r="F999" s="18" t="n">
        <v>1450</v>
      </c>
      <c r="G999" s="19" t="n">
        <v>0.1</v>
      </c>
      <c r="H999" s="18" t="n">
        <v>3915</v>
      </c>
      <c r="I999" s="20"/>
    </row>
    <row r="1000" customFormat="false" ht="15" hidden="false" customHeight="false" outlineLevel="0" collapsed="false">
      <c r="A1000" s="16" t="n">
        <v>45967</v>
      </c>
      <c r="B1000" s="17" t="s">
        <v>1093</v>
      </c>
      <c r="C1000" s="17" t="s">
        <v>78</v>
      </c>
      <c r="D1000" s="17" t="s">
        <v>102</v>
      </c>
      <c r="E1000" s="17" t="n">
        <v>15</v>
      </c>
      <c r="F1000" s="18" t="n">
        <v>95</v>
      </c>
      <c r="G1000" s="19" t="n">
        <v>0.1</v>
      </c>
      <c r="H1000" s="18" t="n">
        <v>1282.5</v>
      </c>
      <c r="I1000" s="20"/>
    </row>
    <row r="1001" customFormat="false" ht="15" hidden="false" customHeight="false" outlineLevel="0" collapsed="false">
      <c r="A1001" s="16" t="n">
        <v>45967</v>
      </c>
      <c r="B1001" s="17" t="s">
        <v>1094</v>
      </c>
      <c r="C1001" s="17" t="s">
        <v>73</v>
      </c>
      <c r="D1001" s="17" t="s">
        <v>96</v>
      </c>
      <c r="E1001" s="17" t="n">
        <v>5</v>
      </c>
      <c r="F1001" s="18" t="n">
        <v>1450</v>
      </c>
      <c r="G1001" s="19" t="n">
        <v>0.1</v>
      </c>
      <c r="H1001" s="18" t="n">
        <v>6525</v>
      </c>
      <c r="I1001" s="20"/>
    </row>
    <row r="1002" customFormat="false" ht="15" hidden="false" customHeight="false" outlineLevel="0" collapsed="false">
      <c r="A1002" s="16" t="n">
        <v>45967</v>
      </c>
      <c r="B1002" s="17" t="s">
        <v>1095</v>
      </c>
      <c r="C1002" s="17" t="s">
        <v>73</v>
      </c>
      <c r="D1002" s="17" t="s">
        <v>102</v>
      </c>
      <c r="E1002" s="17" t="n">
        <v>8</v>
      </c>
      <c r="F1002" s="18" t="n">
        <v>1450</v>
      </c>
      <c r="G1002" s="19" t="n">
        <v>0</v>
      </c>
      <c r="H1002" s="18" t="n">
        <v>11600</v>
      </c>
      <c r="I1002" s="20"/>
    </row>
    <row r="1003" customFormat="false" ht="15" hidden="false" customHeight="false" outlineLevel="0" collapsed="false">
      <c r="A1003" s="16" t="n">
        <v>45967</v>
      </c>
      <c r="B1003" s="17" t="s">
        <v>1096</v>
      </c>
      <c r="C1003" s="17" t="s">
        <v>81</v>
      </c>
      <c r="D1003" s="17" t="s">
        <v>92</v>
      </c>
      <c r="E1003" s="17" t="n">
        <v>9</v>
      </c>
      <c r="F1003" s="18" t="n">
        <v>60</v>
      </c>
      <c r="G1003" s="19" t="n">
        <v>0</v>
      </c>
      <c r="H1003" s="18" t="n">
        <v>540</v>
      </c>
      <c r="I1003" s="20"/>
    </row>
    <row r="1004" customFormat="false" ht="15" hidden="false" customHeight="false" outlineLevel="0" collapsed="false">
      <c r="A1004" s="16" t="n">
        <v>45968</v>
      </c>
      <c r="B1004" s="17" t="s">
        <v>1097</v>
      </c>
      <c r="C1004" s="17" t="s">
        <v>70</v>
      </c>
      <c r="D1004" s="17" t="s">
        <v>92</v>
      </c>
      <c r="E1004" s="17" t="n">
        <v>12</v>
      </c>
      <c r="F1004" s="18" t="n">
        <v>850</v>
      </c>
      <c r="G1004" s="19" t="n">
        <v>0.05</v>
      </c>
      <c r="H1004" s="18" t="n">
        <v>9690</v>
      </c>
      <c r="I1004" s="20"/>
    </row>
    <row r="1005" customFormat="false" ht="15" hidden="false" customHeight="false" outlineLevel="0" collapsed="false">
      <c r="A1005" s="16" t="n">
        <v>45968</v>
      </c>
      <c r="B1005" s="17" t="s">
        <v>1098</v>
      </c>
      <c r="C1005" s="17" t="s">
        <v>70</v>
      </c>
      <c r="D1005" s="17" t="s">
        <v>96</v>
      </c>
      <c r="E1005" s="17" t="n">
        <v>9</v>
      </c>
      <c r="F1005" s="18" t="n">
        <v>850</v>
      </c>
      <c r="G1005" s="19" t="n">
        <v>0</v>
      </c>
      <c r="H1005" s="18" t="n">
        <v>7650</v>
      </c>
      <c r="I1005" s="20"/>
    </row>
    <row r="1006" customFormat="false" ht="15" hidden="false" customHeight="false" outlineLevel="0" collapsed="false">
      <c r="A1006" s="16" t="n">
        <v>45968</v>
      </c>
      <c r="B1006" s="17" t="s">
        <v>1099</v>
      </c>
      <c r="C1006" s="17" t="s">
        <v>75</v>
      </c>
      <c r="D1006" s="17" t="s">
        <v>92</v>
      </c>
      <c r="E1006" s="17" t="n">
        <v>3</v>
      </c>
      <c r="F1006" s="18" t="n">
        <v>120</v>
      </c>
      <c r="G1006" s="19" t="n">
        <v>0.05</v>
      </c>
      <c r="H1006" s="18" t="n">
        <v>342</v>
      </c>
      <c r="I1006" s="20"/>
    </row>
    <row r="1007" customFormat="false" ht="15" hidden="false" customHeight="false" outlineLevel="0" collapsed="false">
      <c r="A1007" s="16" t="n">
        <v>45969</v>
      </c>
      <c r="B1007" s="17" t="s">
        <v>1100</v>
      </c>
      <c r="C1007" s="17" t="s">
        <v>70</v>
      </c>
      <c r="D1007" s="17" t="s">
        <v>96</v>
      </c>
      <c r="E1007" s="17" t="n">
        <v>5</v>
      </c>
      <c r="F1007" s="18" t="n">
        <v>850</v>
      </c>
      <c r="G1007" s="19" t="n">
        <v>0</v>
      </c>
      <c r="H1007" s="18" t="n">
        <v>4250</v>
      </c>
      <c r="I1007" s="20"/>
    </row>
    <row r="1008" customFormat="false" ht="15" hidden="false" customHeight="false" outlineLevel="0" collapsed="false">
      <c r="A1008" s="16" t="n">
        <v>45969</v>
      </c>
      <c r="B1008" s="17" t="s">
        <v>1101</v>
      </c>
      <c r="C1008" s="17" t="s">
        <v>70</v>
      </c>
      <c r="D1008" s="17" t="s">
        <v>92</v>
      </c>
      <c r="E1008" s="17" t="n">
        <v>18</v>
      </c>
      <c r="F1008" s="18" t="n">
        <v>850</v>
      </c>
      <c r="G1008" s="19" t="n">
        <v>0</v>
      </c>
      <c r="H1008" s="18" t="n">
        <v>15300</v>
      </c>
      <c r="I1008" s="20"/>
    </row>
    <row r="1009" customFormat="false" ht="15" hidden="false" customHeight="false" outlineLevel="0" collapsed="false">
      <c r="A1009" s="16" t="n">
        <v>45969</v>
      </c>
      <c r="B1009" s="17" t="s">
        <v>1102</v>
      </c>
      <c r="C1009" s="17" t="s">
        <v>75</v>
      </c>
      <c r="D1009" s="17" t="s">
        <v>92</v>
      </c>
      <c r="E1009" s="17" t="n">
        <v>6</v>
      </c>
      <c r="F1009" s="18" t="n">
        <v>120</v>
      </c>
      <c r="G1009" s="19" t="n">
        <v>0</v>
      </c>
      <c r="H1009" s="18" t="n">
        <v>720</v>
      </c>
      <c r="I1009" s="20"/>
    </row>
    <row r="1010" customFormat="false" ht="15" hidden="false" customHeight="false" outlineLevel="0" collapsed="false">
      <c r="A1010" s="16" t="n">
        <v>45970</v>
      </c>
      <c r="B1010" s="17" t="s">
        <v>1103</v>
      </c>
      <c r="C1010" s="17" t="s">
        <v>75</v>
      </c>
      <c r="D1010" s="17" t="s">
        <v>92</v>
      </c>
      <c r="E1010" s="17" t="n">
        <v>9</v>
      </c>
      <c r="F1010" s="18" t="n">
        <v>120</v>
      </c>
      <c r="G1010" s="19" t="n">
        <v>0.05</v>
      </c>
      <c r="H1010" s="18" t="n">
        <v>1026</v>
      </c>
      <c r="I1010" s="20"/>
    </row>
    <row r="1011" customFormat="false" ht="15" hidden="false" customHeight="false" outlineLevel="0" collapsed="false">
      <c r="A1011" s="16" t="n">
        <v>45971</v>
      </c>
      <c r="B1011" s="17" t="s">
        <v>1104</v>
      </c>
      <c r="C1011" s="17" t="s">
        <v>75</v>
      </c>
      <c r="D1011" s="17" t="s">
        <v>102</v>
      </c>
      <c r="E1011" s="17" t="n">
        <v>16</v>
      </c>
      <c r="F1011" s="18" t="n">
        <v>120</v>
      </c>
      <c r="G1011" s="19" t="n">
        <v>0.05</v>
      </c>
      <c r="H1011" s="18" t="n">
        <v>1824</v>
      </c>
      <c r="I1011" s="20"/>
    </row>
    <row r="1012" customFormat="false" ht="15" hidden="false" customHeight="false" outlineLevel="0" collapsed="false">
      <c r="A1012" s="16" t="n">
        <v>45971</v>
      </c>
      <c r="B1012" s="17" t="s">
        <v>1105</v>
      </c>
      <c r="C1012" s="17" t="s">
        <v>78</v>
      </c>
      <c r="D1012" s="17" t="s">
        <v>92</v>
      </c>
      <c r="E1012" s="17" t="n">
        <v>6</v>
      </c>
      <c r="F1012" s="18" t="n">
        <v>95</v>
      </c>
      <c r="G1012" s="19" t="n">
        <v>0.1</v>
      </c>
      <c r="H1012" s="18" t="n">
        <v>513</v>
      </c>
      <c r="I1012" s="20"/>
    </row>
    <row r="1013" customFormat="false" ht="15" hidden="false" customHeight="false" outlineLevel="0" collapsed="false">
      <c r="A1013" s="16" t="n">
        <v>45971</v>
      </c>
      <c r="B1013" s="17" t="s">
        <v>1106</v>
      </c>
      <c r="C1013" s="17" t="s">
        <v>73</v>
      </c>
      <c r="D1013" s="17" t="s">
        <v>96</v>
      </c>
      <c r="E1013" s="17" t="n">
        <v>12</v>
      </c>
      <c r="F1013" s="18" t="n">
        <v>1450</v>
      </c>
      <c r="G1013" s="19" t="n">
        <v>0</v>
      </c>
      <c r="H1013" s="18" t="n">
        <v>17400</v>
      </c>
      <c r="I1013" s="20"/>
    </row>
    <row r="1014" customFormat="false" ht="15" hidden="false" customHeight="false" outlineLevel="0" collapsed="false">
      <c r="A1014" s="16" t="n">
        <v>45972</v>
      </c>
      <c r="B1014" s="17" t="s">
        <v>1107</v>
      </c>
      <c r="C1014" s="17" t="s">
        <v>78</v>
      </c>
      <c r="D1014" s="17" t="s">
        <v>102</v>
      </c>
      <c r="E1014" s="17" t="n">
        <v>12</v>
      </c>
      <c r="F1014" s="18" t="n">
        <v>95</v>
      </c>
      <c r="G1014" s="19" t="n">
        <v>0</v>
      </c>
      <c r="H1014" s="18" t="n">
        <v>1140</v>
      </c>
      <c r="I1014" s="20"/>
    </row>
    <row r="1015" customFormat="false" ht="15" hidden="false" customHeight="false" outlineLevel="0" collapsed="false">
      <c r="A1015" s="16" t="n">
        <v>45972</v>
      </c>
      <c r="B1015" s="17" t="s">
        <v>1108</v>
      </c>
      <c r="C1015" s="17" t="s">
        <v>70</v>
      </c>
      <c r="D1015" s="17" t="s">
        <v>98</v>
      </c>
      <c r="E1015" s="17" t="n">
        <v>6</v>
      </c>
      <c r="F1015" s="18" t="n">
        <v>850</v>
      </c>
      <c r="G1015" s="19" t="n">
        <v>0.05</v>
      </c>
      <c r="H1015" s="18" t="n">
        <v>4845</v>
      </c>
      <c r="I1015" s="20"/>
    </row>
    <row r="1016" customFormat="false" ht="15" hidden="false" customHeight="false" outlineLevel="0" collapsed="false">
      <c r="A1016" s="16" t="n">
        <v>45972</v>
      </c>
      <c r="B1016" s="17" t="s">
        <v>1109</v>
      </c>
      <c r="C1016" s="17" t="s">
        <v>73</v>
      </c>
      <c r="D1016" s="17" t="s">
        <v>96</v>
      </c>
      <c r="E1016" s="17" t="n">
        <v>16</v>
      </c>
      <c r="F1016" s="18" t="n">
        <v>1450</v>
      </c>
      <c r="G1016" s="19" t="n">
        <v>0</v>
      </c>
      <c r="H1016" s="18" t="n">
        <v>23200</v>
      </c>
      <c r="I1016" s="20"/>
    </row>
    <row r="1017" customFormat="false" ht="15" hidden="false" customHeight="false" outlineLevel="0" collapsed="false">
      <c r="A1017" s="16" t="n">
        <v>45973</v>
      </c>
      <c r="B1017" s="17" t="s">
        <v>1110</v>
      </c>
      <c r="C1017" s="17" t="s">
        <v>73</v>
      </c>
      <c r="D1017" s="17" t="s">
        <v>92</v>
      </c>
      <c r="E1017" s="17" t="n">
        <v>10</v>
      </c>
      <c r="F1017" s="18" t="n">
        <v>1450</v>
      </c>
      <c r="G1017" s="19" t="n">
        <v>0</v>
      </c>
      <c r="H1017" s="18" t="n">
        <v>14500</v>
      </c>
      <c r="I1017" s="20"/>
    </row>
    <row r="1018" customFormat="false" ht="15" hidden="false" customHeight="false" outlineLevel="0" collapsed="false">
      <c r="A1018" s="16" t="n">
        <v>45973</v>
      </c>
      <c r="B1018" s="17" t="s">
        <v>1111</v>
      </c>
      <c r="C1018" s="17" t="s">
        <v>78</v>
      </c>
      <c r="D1018" s="17" t="s">
        <v>92</v>
      </c>
      <c r="E1018" s="17" t="n">
        <v>11</v>
      </c>
      <c r="F1018" s="18" t="n">
        <v>95</v>
      </c>
      <c r="G1018" s="19" t="n">
        <v>0</v>
      </c>
      <c r="H1018" s="18" t="n">
        <v>1045</v>
      </c>
      <c r="I1018" s="20"/>
    </row>
    <row r="1019" customFormat="false" ht="15" hidden="false" customHeight="false" outlineLevel="0" collapsed="false">
      <c r="A1019" s="16" t="n">
        <v>45973</v>
      </c>
      <c r="B1019" s="17" t="s">
        <v>1112</v>
      </c>
      <c r="C1019" s="17" t="s">
        <v>70</v>
      </c>
      <c r="D1019" s="17" t="s">
        <v>92</v>
      </c>
      <c r="E1019" s="17" t="n">
        <v>16</v>
      </c>
      <c r="F1019" s="18" t="n">
        <v>850</v>
      </c>
      <c r="G1019" s="19" t="n">
        <v>0</v>
      </c>
      <c r="H1019" s="18" t="n">
        <v>13600</v>
      </c>
      <c r="I1019" s="20"/>
    </row>
    <row r="1020" customFormat="false" ht="15" hidden="false" customHeight="false" outlineLevel="0" collapsed="false">
      <c r="A1020" s="16" t="n">
        <v>45973</v>
      </c>
      <c r="B1020" s="17" t="s">
        <v>1113</v>
      </c>
      <c r="C1020" s="17" t="s">
        <v>70</v>
      </c>
      <c r="D1020" s="17" t="s">
        <v>102</v>
      </c>
      <c r="E1020" s="17" t="n">
        <v>1</v>
      </c>
      <c r="F1020" s="18" t="n">
        <v>850</v>
      </c>
      <c r="G1020" s="19" t="n">
        <v>0.05</v>
      </c>
      <c r="H1020" s="18" t="n">
        <v>807.5</v>
      </c>
      <c r="I1020" s="20"/>
    </row>
    <row r="1021" customFormat="false" ht="15" hidden="false" customHeight="false" outlineLevel="0" collapsed="false">
      <c r="A1021" s="16" t="n">
        <v>45973</v>
      </c>
      <c r="B1021" s="17" t="s">
        <v>1114</v>
      </c>
      <c r="C1021" s="17" t="s">
        <v>70</v>
      </c>
      <c r="D1021" s="17" t="s">
        <v>98</v>
      </c>
      <c r="E1021" s="17" t="n">
        <v>5</v>
      </c>
      <c r="F1021" s="18" t="n">
        <v>850</v>
      </c>
      <c r="G1021" s="19" t="n">
        <v>0.05</v>
      </c>
      <c r="H1021" s="18" t="n">
        <v>4037.5</v>
      </c>
      <c r="I1021" s="20"/>
    </row>
    <row r="1022" customFormat="false" ht="15" hidden="false" customHeight="false" outlineLevel="0" collapsed="false">
      <c r="A1022" s="16" t="n">
        <v>45973</v>
      </c>
      <c r="B1022" s="17" t="s">
        <v>1115</v>
      </c>
      <c r="C1022" s="17" t="s">
        <v>78</v>
      </c>
      <c r="D1022" s="17" t="s">
        <v>92</v>
      </c>
      <c r="E1022" s="17" t="n">
        <v>8</v>
      </c>
      <c r="F1022" s="18" t="n">
        <v>95</v>
      </c>
      <c r="G1022" s="19" t="n">
        <v>0.05</v>
      </c>
      <c r="H1022" s="18" t="n">
        <v>722</v>
      </c>
      <c r="I1022" s="20"/>
    </row>
    <row r="1023" customFormat="false" ht="15" hidden="false" customHeight="false" outlineLevel="0" collapsed="false">
      <c r="A1023" s="16" t="n">
        <v>45974</v>
      </c>
      <c r="B1023" s="17" t="s">
        <v>1116</v>
      </c>
      <c r="C1023" s="17" t="s">
        <v>81</v>
      </c>
      <c r="D1023" s="17" t="s">
        <v>92</v>
      </c>
      <c r="E1023" s="17" t="n">
        <v>20</v>
      </c>
      <c r="F1023" s="18" t="n">
        <v>60</v>
      </c>
      <c r="G1023" s="19" t="n">
        <v>0.1</v>
      </c>
      <c r="H1023" s="18" t="n">
        <v>1080</v>
      </c>
      <c r="I1023" s="20"/>
    </row>
    <row r="1024" customFormat="false" ht="15" hidden="false" customHeight="false" outlineLevel="0" collapsed="false">
      <c r="A1024" s="16" t="n">
        <v>45974</v>
      </c>
      <c r="B1024" s="17" t="s">
        <v>1117</v>
      </c>
      <c r="C1024" s="17" t="s">
        <v>75</v>
      </c>
      <c r="D1024" s="17" t="s">
        <v>92</v>
      </c>
      <c r="E1024" s="17" t="n">
        <v>4</v>
      </c>
      <c r="F1024" s="18" t="n">
        <v>120</v>
      </c>
      <c r="G1024" s="19" t="n">
        <v>0.1</v>
      </c>
      <c r="H1024" s="18" t="n">
        <v>432</v>
      </c>
      <c r="I1024" s="20"/>
    </row>
    <row r="1025" customFormat="false" ht="15" hidden="false" customHeight="false" outlineLevel="0" collapsed="false">
      <c r="A1025" s="16" t="n">
        <v>45974</v>
      </c>
      <c r="B1025" s="17" t="s">
        <v>1118</v>
      </c>
      <c r="C1025" s="17" t="s">
        <v>73</v>
      </c>
      <c r="D1025" s="17" t="s">
        <v>98</v>
      </c>
      <c r="E1025" s="17" t="n">
        <v>2</v>
      </c>
      <c r="F1025" s="18" t="n">
        <v>1450</v>
      </c>
      <c r="G1025" s="19" t="n">
        <v>0</v>
      </c>
      <c r="H1025" s="18" t="n">
        <v>2900</v>
      </c>
      <c r="I1025" s="20"/>
    </row>
    <row r="1026" customFormat="false" ht="15" hidden="false" customHeight="false" outlineLevel="0" collapsed="false">
      <c r="A1026" s="16" t="n">
        <v>45975</v>
      </c>
      <c r="B1026" s="17" t="s">
        <v>1119</v>
      </c>
      <c r="C1026" s="17" t="s">
        <v>81</v>
      </c>
      <c r="D1026" s="17" t="s">
        <v>102</v>
      </c>
      <c r="E1026" s="17" t="n">
        <v>17</v>
      </c>
      <c r="F1026" s="18" t="n">
        <v>60</v>
      </c>
      <c r="G1026" s="19" t="n">
        <v>0</v>
      </c>
      <c r="H1026" s="18" t="n">
        <v>1020</v>
      </c>
      <c r="I1026" s="20"/>
    </row>
    <row r="1027" customFormat="false" ht="15" hidden="false" customHeight="false" outlineLevel="0" collapsed="false">
      <c r="A1027" s="16" t="n">
        <v>45975</v>
      </c>
      <c r="B1027" s="17" t="s">
        <v>1120</v>
      </c>
      <c r="C1027" s="17" t="s">
        <v>73</v>
      </c>
      <c r="D1027" s="17" t="s">
        <v>92</v>
      </c>
      <c r="E1027" s="17" t="n">
        <v>12</v>
      </c>
      <c r="F1027" s="18" t="n">
        <v>1450</v>
      </c>
      <c r="G1027" s="19" t="n">
        <v>0.05</v>
      </c>
      <c r="H1027" s="18" t="n">
        <v>16530</v>
      </c>
      <c r="I1027" s="20"/>
    </row>
    <row r="1028" customFormat="false" ht="15" hidden="false" customHeight="false" outlineLevel="0" collapsed="false">
      <c r="A1028" s="16" t="n">
        <v>45975</v>
      </c>
      <c r="B1028" s="17" t="s">
        <v>1121</v>
      </c>
      <c r="C1028" s="17" t="s">
        <v>78</v>
      </c>
      <c r="D1028" s="17" t="s">
        <v>98</v>
      </c>
      <c r="E1028" s="17" t="n">
        <v>15</v>
      </c>
      <c r="F1028" s="18" t="n">
        <v>95</v>
      </c>
      <c r="G1028" s="19" t="n">
        <v>0</v>
      </c>
      <c r="H1028" s="18" t="n">
        <v>1425</v>
      </c>
      <c r="I1028" s="20"/>
    </row>
    <row r="1029" customFormat="false" ht="15" hidden="false" customHeight="false" outlineLevel="0" collapsed="false">
      <c r="A1029" s="16" t="n">
        <v>45976</v>
      </c>
      <c r="B1029" s="17" t="s">
        <v>1122</v>
      </c>
      <c r="C1029" s="17" t="s">
        <v>73</v>
      </c>
      <c r="D1029" s="17" t="s">
        <v>96</v>
      </c>
      <c r="E1029" s="17" t="n">
        <v>6</v>
      </c>
      <c r="F1029" s="18" t="n">
        <v>1450</v>
      </c>
      <c r="G1029" s="19" t="n">
        <v>0</v>
      </c>
      <c r="H1029" s="18" t="n">
        <v>8700</v>
      </c>
      <c r="I1029" s="20"/>
    </row>
    <row r="1030" customFormat="false" ht="15" hidden="false" customHeight="false" outlineLevel="0" collapsed="false">
      <c r="A1030" s="16" t="n">
        <v>45976</v>
      </c>
      <c r="B1030" s="17" t="s">
        <v>1123</v>
      </c>
      <c r="C1030" s="17" t="s">
        <v>81</v>
      </c>
      <c r="D1030" s="17" t="s">
        <v>96</v>
      </c>
      <c r="E1030" s="17" t="n">
        <v>1</v>
      </c>
      <c r="F1030" s="18" t="n">
        <v>60</v>
      </c>
      <c r="G1030" s="19" t="n">
        <v>0</v>
      </c>
      <c r="H1030" s="18" t="n">
        <v>60</v>
      </c>
      <c r="I1030" s="20"/>
    </row>
    <row r="1031" customFormat="false" ht="15" hidden="false" customHeight="false" outlineLevel="0" collapsed="false">
      <c r="A1031" s="16" t="n">
        <v>45976</v>
      </c>
      <c r="B1031" s="17" t="s">
        <v>1124</v>
      </c>
      <c r="C1031" s="17" t="s">
        <v>78</v>
      </c>
      <c r="D1031" s="17" t="s">
        <v>98</v>
      </c>
      <c r="E1031" s="17" t="n">
        <v>14</v>
      </c>
      <c r="F1031" s="18" t="n">
        <v>95</v>
      </c>
      <c r="G1031" s="19" t="n">
        <v>0</v>
      </c>
      <c r="H1031" s="18" t="n">
        <v>1330</v>
      </c>
      <c r="I1031" s="20"/>
    </row>
    <row r="1032" customFormat="false" ht="15" hidden="false" customHeight="false" outlineLevel="0" collapsed="false">
      <c r="A1032" s="16" t="n">
        <v>45976</v>
      </c>
      <c r="B1032" s="17" t="s">
        <v>1125</v>
      </c>
      <c r="C1032" s="17" t="s">
        <v>73</v>
      </c>
      <c r="D1032" s="17" t="s">
        <v>98</v>
      </c>
      <c r="E1032" s="17" t="n">
        <v>12</v>
      </c>
      <c r="F1032" s="18" t="n">
        <v>1450</v>
      </c>
      <c r="G1032" s="19" t="n">
        <v>0</v>
      </c>
      <c r="H1032" s="18" t="n">
        <v>17400</v>
      </c>
      <c r="I1032" s="20"/>
    </row>
    <row r="1033" customFormat="false" ht="15" hidden="false" customHeight="false" outlineLevel="0" collapsed="false">
      <c r="A1033" s="16" t="n">
        <v>45977</v>
      </c>
      <c r="B1033" s="17" t="s">
        <v>1126</v>
      </c>
      <c r="C1033" s="17" t="s">
        <v>78</v>
      </c>
      <c r="D1033" s="17" t="s">
        <v>96</v>
      </c>
      <c r="E1033" s="17" t="n">
        <v>19</v>
      </c>
      <c r="F1033" s="18" t="n">
        <v>95</v>
      </c>
      <c r="G1033" s="19" t="n">
        <v>0.05</v>
      </c>
      <c r="H1033" s="18" t="n">
        <v>1714.75</v>
      </c>
      <c r="I1033" s="20"/>
    </row>
    <row r="1034" customFormat="false" ht="15" hidden="false" customHeight="false" outlineLevel="0" collapsed="false">
      <c r="A1034" s="16" t="n">
        <v>45977</v>
      </c>
      <c r="B1034" s="17" t="s">
        <v>1127</v>
      </c>
      <c r="C1034" s="17" t="s">
        <v>78</v>
      </c>
      <c r="D1034" s="17" t="s">
        <v>102</v>
      </c>
      <c r="E1034" s="17" t="n">
        <v>18</v>
      </c>
      <c r="F1034" s="18" t="n">
        <v>95</v>
      </c>
      <c r="G1034" s="19" t="n">
        <v>0.05</v>
      </c>
      <c r="H1034" s="18" t="n">
        <v>1624.5</v>
      </c>
      <c r="I1034" s="20"/>
    </row>
    <row r="1035" customFormat="false" ht="15" hidden="false" customHeight="false" outlineLevel="0" collapsed="false">
      <c r="A1035" s="16" t="n">
        <v>45977</v>
      </c>
      <c r="B1035" s="17" t="s">
        <v>1128</v>
      </c>
      <c r="C1035" s="17" t="s">
        <v>81</v>
      </c>
      <c r="D1035" s="17" t="s">
        <v>96</v>
      </c>
      <c r="E1035" s="17" t="n">
        <v>14</v>
      </c>
      <c r="F1035" s="18" t="n">
        <v>60</v>
      </c>
      <c r="G1035" s="19" t="n">
        <v>0</v>
      </c>
      <c r="H1035" s="18" t="n">
        <v>840</v>
      </c>
      <c r="I1035" s="20"/>
    </row>
    <row r="1036" customFormat="false" ht="15" hidden="false" customHeight="false" outlineLevel="0" collapsed="false">
      <c r="A1036" s="16" t="n">
        <v>45977</v>
      </c>
      <c r="B1036" s="17" t="s">
        <v>1129</v>
      </c>
      <c r="C1036" s="17" t="s">
        <v>73</v>
      </c>
      <c r="D1036" s="17" t="s">
        <v>92</v>
      </c>
      <c r="E1036" s="17" t="n">
        <v>18</v>
      </c>
      <c r="F1036" s="18" t="n">
        <v>1450</v>
      </c>
      <c r="G1036" s="19" t="n">
        <v>0</v>
      </c>
      <c r="H1036" s="18" t="n">
        <v>26100</v>
      </c>
      <c r="I1036" s="20"/>
    </row>
    <row r="1037" customFormat="false" ht="15" hidden="false" customHeight="false" outlineLevel="0" collapsed="false">
      <c r="A1037" s="16" t="n">
        <v>45977</v>
      </c>
      <c r="B1037" s="17" t="s">
        <v>1130</v>
      </c>
      <c r="C1037" s="17" t="s">
        <v>73</v>
      </c>
      <c r="D1037" s="17" t="s">
        <v>102</v>
      </c>
      <c r="E1037" s="17" t="n">
        <v>15</v>
      </c>
      <c r="F1037" s="18" t="n">
        <v>1450</v>
      </c>
      <c r="G1037" s="19" t="n">
        <v>0.1</v>
      </c>
      <c r="H1037" s="18" t="n">
        <v>19575</v>
      </c>
      <c r="I1037" s="20"/>
    </row>
    <row r="1038" customFormat="false" ht="15" hidden="false" customHeight="false" outlineLevel="0" collapsed="false">
      <c r="A1038" s="16" t="n">
        <v>45977</v>
      </c>
      <c r="B1038" s="17" t="s">
        <v>1131</v>
      </c>
      <c r="C1038" s="17" t="s">
        <v>73</v>
      </c>
      <c r="D1038" s="17" t="s">
        <v>98</v>
      </c>
      <c r="E1038" s="17" t="n">
        <v>2</v>
      </c>
      <c r="F1038" s="18" t="n">
        <v>1450</v>
      </c>
      <c r="G1038" s="19" t="n">
        <v>0.1</v>
      </c>
      <c r="H1038" s="18" t="n">
        <v>2610</v>
      </c>
      <c r="I1038" s="20"/>
    </row>
    <row r="1039" customFormat="false" ht="15" hidden="false" customHeight="false" outlineLevel="0" collapsed="false">
      <c r="A1039" s="16" t="n">
        <v>45977</v>
      </c>
      <c r="B1039" s="17" t="s">
        <v>1132</v>
      </c>
      <c r="C1039" s="17" t="s">
        <v>78</v>
      </c>
      <c r="D1039" s="17" t="s">
        <v>98</v>
      </c>
      <c r="E1039" s="17" t="n">
        <v>16</v>
      </c>
      <c r="F1039" s="18" t="n">
        <v>95</v>
      </c>
      <c r="G1039" s="19" t="n">
        <v>0.05</v>
      </c>
      <c r="H1039" s="18" t="n">
        <v>1444</v>
      </c>
      <c r="I1039" s="20"/>
    </row>
    <row r="1040" customFormat="false" ht="15" hidden="false" customHeight="false" outlineLevel="0" collapsed="false">
      <c r="A1040" s="16" t="n">
        <v>45978</v>
      </c>
      <c r="B1040" s="17" t="s">
        <v>1133</v>
      </c>
      <c r="C1040" s="17" t="s">
        <v>75</v>
      </c>
      <c r="D1040" s="17" t="s">
        <v>98</v>
      </c>
      <c r="E1040" s="17" t="n">
        <v>16</v>
      </c>
      <c r="F1040" s="18" t="n">
        <v>120</v>
      </c>
      <c r="G1040" s="19" t="n">
        <v>0</v>
      </c>
      <c r="H1040" s="18" t="n">
        <v>1920</v>
      </c>
      <c r="I1040" s="20"/>
    </row>
    <row r="1041" customFormat="false" ht="15" hidden="false" customHeight="false" outlineLevel="0" collapsed="false">
      <c r="A1041" s="16" t="n">
        <v>45978</v>
      </c>
      <c r="B1041" s="17" t="s">
        <v>1134</v>
      </c>
      <c r="C1041" s="17" t="s">
        <v>78</v>
      </c>
      <c r="D1041" s="17" t="s">
        <v>102</v>
      </c>
      <c r="E1041" s="17" t="n">
        <v>8</v>
      </c>
      <c r="F1041" s="18" t="n">
        <v>95</v>
      </c>
      <c r="G1041" s="19" t="n">
        <v>0</v>
      </c>
      <c r="H1041" s="18" t="n">
        <v>760</v>
      </c>
      <c r="I1041" s="20"/>
    </row>
    <row r="1042" customFormat="false" ht="15" hidden="false" customHeight="false" outlineLevel="0" collapsed="false">
      <c r="A1042" s="16" t="n">
        <v>45978</v>
      </c>
      <c r="B1042" s="17" t="s">
        <v>1135</v>
      </c>
      <c r="C1042" s="17" t="s">
        <v>78</v>
      </c>
      <c r="D1042" s="17" t="s">
        <v>98</v>
      </c>
      <c r="E1042" s="17" t="n">
        <v>1</v>
      </c>
      <c r="F1042" s="18" t="n">
        <v>95</v>
      </c>
      <c r="G1042" s="19" t="n">
        <v>0</v>
      </c>
      <c r="H1042" s="18" t="n">
        <v>95</v>
      </c>
      <c r="I1042" s="20"/>
    </row>
    <row r="1043" customFormat="false" ht="15" hidden="false" customHeight="false" outlineLevel="0" collapsed="false">
      <c r="A1043" s="16" t="n">
        <v>45978</v>
      </c>
      <c r="B1043" s="17" t="s">
        <v>1136</v>
      </c>
      <c r="C1043" s="17" t="s">
        <v>73</v>
      </c>
      <c r="D1043" s="17" t="s">
        <v>96</v>
      </c>
      <c r="E1043" s="17" t="n">
        <v>18</v>
      </c>
      <c r="F1043" s="18" t="n">
        <v>1450</v>
      </c>
      <c r="G1043" s="19" t="n">
        <v>0</v>
      </c>
      <c r="H1043" s="18" t="n">
        <v>26100</v>
      </c>
      <c r="I1043" s="20"/>
    </row>
    <row r="1044" customFormat="false" ht="15" hidden="false" customHeight="false" outlineLevel="0" collapsed="false">
      <c r="A1044" s="16" t="n">
        <v>45978</v>
      </c>
      <c r="B1044" s="17" t="s">
        <v>1137</v>
      </c>
      <c r="C1044" s="17" t="s">
        <v>73</v>
      </c>
      <c r="D1044" s="17" t="s">
        <v>92</v>
      </c>
      <c r="E1044" s="17" t="n">
        <v>17</v>
      </c>
      <c r="F1044" s="18" t="n">
        <v>1450</v>
      </c>
      <c r="G1044" s="19" t="n">
        <v>0</v>
      </c>
      <c r="H1044" s="18" t="n">
        <v>24650</v>
      </c>
      <c r="I1044" s="20"/>
    </row>
    <row r="1045" customFormat="false" ht="15" hidden="false" customHeight="false" outlineLevel="0" collapsed="false">
      <c r="A1045" s="16" t="n">
        <v>45978</v>
      </c>
      <c r="B1045" s="17" t="s">
        <v>1138</v>
      </c>
      <c r="C1045" s="17" t="s">
        <v>81</v>
      </c>
      <c r="D1045" s="17" t="s">
        <v>98</v>
      </c>
      <c r="E1045" s="17" t="n">
        <v>13</v>
      </c>
      <c r="F1045" s="18" t="n">
        <v>60</v>
      </c>
      <c r="G1045" s="19" t="n">
        <v>0</v>
      </c>
      <c r="H1045" s="18" t="n">
        <v>780</v>
      </c>
      <c r="I1045" s="20"/>
    </row>
    <row r="1046" customFormat="false" ht="15" hidden="false" customHeight="false" outlineLevel="0" collapsed="false">
      <c r="A1046" s="16" t="n">
        <v>45979</v>
      </c>
      <c r="B1046" s="17" t="s">
        <v>1139</v>
      </c>
      <c r="C1046" s="17" t="s">
        <v>70</v>
      </c>
      <c r="D1046" s="17" t="s">
        <v>98</v>
      </c>
      <c r="E1046" s="17" t="n">
        <v>3</v>
      </c>
      <c r="F1046" s="18" t="n">
        <v>850</v>
      </c>
      <c r="G1046" s="19" t="n">
        <v>0</v>
      </c>
      <c r="H1046" s="18" t="n">
        <v>2550</v>
      </c>
      <c r="I1046" s="20"/>
    </row>
    <row r="1047" customFormat="false" ht="15" hidden="false" customHeight="false" outlineLevel="0" collapsed="false">
      <c r="A1047" s="16" t="n">
        <v>45979</v>
      </c>
      <c r="B1047" s="17" t="s">
        <v>1140</v>
      </c>
      <c r="C1047" s="17" t="s">
        <v>81</v>
      </c>
      <c r="D1047" s="17" t="s">
        <v>92</v>
      </c>
      <c r="E1047" s="17" t="n">
        <v>9</v>
      </c>
      <c r="F1047" s="18" t="n">
        <v>60</v>
      </c>
      <c r="G1047" s="19" t="n">
        <v>0</v>
      </c>
      <c r="H1047" s="18" t="n">
        <v>540</v>
      </c>
      <c r="I1047" s="20"/>
    </row>
    <row r="1048" customFormat="false" ht="15" hidden="false" customHeight="false" outlineLevel="0" collapsed="false">
      <c r="A1048" s="16" t="n">
        <v>45979</v>
      </c>
      <c r="B1048" s="17" t="s">
        <v>1141</v>
      </c>
      <c r="C1048" s="17" t="s">
        <v>75</v>
      </c>
      <c r="D1048" s="17" t="s">
        <v>92</v>
      </c>
      <c r="E1048" s="17" t="n">
        <v>19</v>
      </c>
      <c r="F1048" s="18" t="n">
        <v>120</v>
      </c>
      <c r="G1048" s="19" t="n">
        <v>0.05</v>
      </c>
      <c r="H1048" s="18" t="n">
        <v>2166</v>
      </c>
      <c r="I1048" s="20"/>
    </row>
    <row r="1049" customFormat="false" ht="15" hidden="false" customHeight="false" outlineLevel="0" collapsed="false">
      <c r="A1049" s="16" t="n">
        <v>45980</v>
      </c>
      <c r="B1049" s="17" t="s">
        <v>1142</v>
      </c>
      <c r="C1049" s="17" t="s">
        <v>81</v>
      </c>
      <c r="D1049" s="17" t="s">
        <v>102</v>
      </c>
      <c r="E1049" s="17" t="n">
        <v>16</v>
      </c>
      <c r="F1049" s="18" t="n">
        <v>60</v>
      </c>
      <c r="G1049" s="19" t="n">
        <v>0</v>
      </c>
      <c r="H1049" s="18" t="n">
        <v>960</v>
      </c>
      <c r="I1049" s="20"/>
    </row>
    <row r="1050" customFormat="false" ht="15" hidden="false" customHeight="false" outlineLevel="0" collapsed="false">
      <c r="A1050" s="16" t="n">
        <v>45981</v>
      </c>
      <c r="B1050" s="17" t="s">
        <v>1143</v>
      </c>
      <c r="C1050" s="17" t="s">
        <v>75</v>
      </c>
      <c r="D1050" s="17" t="s">
        <v>92</v>
      </c>
      <c r="E1050" s="17" t="n">
        <v>5</v>
      </c>
      <c r="F1050" s="18" t="n">
        <v>120</v>
      </c>
      <c r="G1050" s="19" t="n">
        <v>0</v>
      </c>
      <c r="H1050" s="18" t="n">
        <v>600</v>
      </c>
      <c r="I1050" s="20"/>
    </row>
    <row r="1051" customFormat="false" ht="15" hidden="false" customHeight="false" outlineLevel="0" collapsed="false">
      <c r="A1051" s="16" t="n">
        <v>45982</v>
      </c>
      <c r="B1051" s="17" t="s">
        <v>1144</v>
      </c>
      <c r="C1051" s="17" t="s">
        <v>78</v>
      </c>
      <c r="D1051" s="17" t="s">
        <v>96</v>
      </c>
      <c r="E1051" s="17" t="n">
        <v>7</v>
      </c>
      <c r="F1051" s="18" t="n">
        <v>95</v>
      </c>
      <c r="G1051" s="19" t="n">
        <v>0.05</v>
      </c>
      <c r="H1051" s="18" t="n">
        <v>631.75</v>
      </c>
      <c r="I1051" s="20"/>
    </row>
    <row r="1052" customFormat="false" ht="15" hidden="false" customHeight="false" outlineLevel="0" collapsed="false">
      <c r="A1052" s="16" t="n">
        <v>45982</v>
      </c>
      <c r="B1052" s="17" t="s">
        <v>1145</v>
      </c>
      <c r="C1052" s="17" t="s">
        <v>81</v>
      </c>
      <c r="D1052" s="17" t="s">
        <v>98</v>
      </c>
      <c r="E1052" s="17" t="n">
        <v>10</v>
      </c>
      <c r="F1052" s="18" t="n">
        <v>60</v>
      </c>
      <c r="G1052" s="19" t="n">
        <v>0.1</v>
      </c>
      <c r="H1052" s="18" t="n">
        <v>540</v>
      </c>
      <c r="I1052" s="20"/>
    </row>
    <row r="1053" customFormat="false" ht="15" hidden="false" customHeight="false" outlineLevel="0" collapsed="false">
      <c r="A1053" s="16" t="n">
        <v>45983</v>
      </c>
      <c r="B1053" s="17" t="s">
        <v>1146</v>
      </c>
      <c r="C1053" s="17" t="s">
        <v>81</v>
      </c>
      <c r="D1053" s="17" t="s">
        <v>98</v>
      </c>
      <c r="E1053" s="17" t="n">
        <v>8</v>
      </c>
      <c r="F1053" s="18" t="n">
        <v>60</v>
      </c>
      <c r="G1053" s="19" t="n">
        <v>0</v>
      </c>
      <c r="H1053" s="18" t="n">
        <v>480</v>
      </c>
      <c r="I1053" s="20"/>
    </row>
    <row r="1054" customFormat="false" ht="15" hidden="false" customHeight="false" outlineLevel="0" collapsed="false">
      <c r="A1054" s="16" t="n">
        <v>45983</v>
      </c>
      <c r="B1054" s="17" t="s">
        <v>1147</v>
      </c>
      <c r="C1054" s="17" t="s">
        <v>81</v>
      </c>
      <c r="D1054" s="17" t="s">
        <v>92</v>
      </c>
      <c r="E1054" s="17" t="n">
        <v>8</v>
      </c>
      <c r="F1054" s="18" t="n">
        <v>60</v>
      </c>
      <c r="G1054" s="19" t="n">
        <v>0</v>
      </c>
      <c r="H1054" s="18" t="n">
        <v>480</v>
      </c>
      <c r="I1054" s="20"/>
    </row>
    <row r="1055" customFormat="false" ht="15" hidden="false" customHeight="false" outlineLevel="0" collapsed="false">
      <c r="A1055" s="16" t="n">
        <v>45983</v>
      </c>
      <c r="B1055" s="17" t="s">
        <v>1148</v>
      </c>
      <c r="C1055" s="17" t="s">
        <v>70</v>
      </c>
      <c r="D1055" s="17" t="s">
        <v>98</v>
      </c>
      <c r="E1055" s="17" t="n">
        <v>4</v>
      </c>
      <c r="F1055" s="18" t="n">
        <v>850</v>
      </c>
      <c r="G1055" s="19" t="n">
        <v>0</v>
      </c>
      <c r="H1055" s="18" t="n">
        <v>3400</v>
      </c>
      <c r="I1055" s="20"/>
    </row>
    <row r="1056" customFormat="false" ht="15" hidden="false" customHeight="false" outlineLevel="0" collapsed="false">
      <c r="A1056" s="16" t="n">
        <v>45984</v>
      </c>
      <c r="B1056" s="17" t="s">
        <v>1149</v>
      </c>
      <c r="C1056" s="17" t="s">
        <v>78</v>
      </c>
      <c r="D1056" s="17" t="s">
        <v>96</v>
      </c>
      <c r="E1056" s="17" t="n">
        <v>5</v>
      </c>
      <c r="F1056" s="18" t="n">
        <v>95</v>
      </c>
      <c r="G1056" s="19" t="n">
        <v>0</v>
      </c>
      <c r="H1056" s="18" t="n">
        <v>475</v>
      </c>
      <c r="I1056" s="20"/>
    </row>
    <row r="1057" customFormat="false" ht="15" hidden="false" customHeight="false" outlineLevel="0" collapsed="false">
      <c r="A1057" s="16" t="n">
        <v>45984</v>
      </c>
      <c r="B1057" s="17" t="s">
        <v>1150</v>
      </c>
      <c r="C1057" s="17" t="s">
        <v>73</v>
      </c>
      <c r="D1057" s="17" t="s">
        <v>98</v>
      </c>
      <c r="E1057" s="17" t="n">
        <v>15</v>
      </c>
      <c r="F1057" s="18" t="n">
        <v>1450</v>
      </c>
      <c r="G1057" s="19" t="n">
        <v>0.1</v>
      </c>
      <c r="H1057" s="18" t="n">
        <v>19575</v>
      </c>
      <c r="I1057" s="20"/>
    </row>
    <row r="1058" customFormat="false" ht="15" hidden="false" customHeight="false" outlineLevel="0" collapsed="false">
      <c r="A1058" s="16" t="n">
        <v>45984</v>
      </c>
      <c r="B1058" s="17" t="s">
        <v>1151</v>
      </c>
      <c r="C1058" s="17" t="s">
        <v>78</v>
      </c>
      <c r="D1058" s="17" t="s">
        <v>98</v>
      </c>
      <c r="E1058" s="17" t="n">
        <v>11</v>
      </c>
      <c r="F1058" s="18" t="n">
        <v>95</v>
      </c>
      <c r="G1058" s="19" t="n">
        <v>0.05</v>
      </c>
      <c r="H1058" s="18" t="n">
        <v>992.75</v>
      </c>
      <c r="I1058" s="20"/>
    </row>
    <row r="1059" customFormat="false" ht="15" hidden="false" customHeight="false" outlineLevel="0" collapsed="false">
      <c r="A1059" s="16" t="n">
        <v>45984</v>
      </c>
      <c r="B1059" s="17" t="s">
        <v>1152</v>
      </c>
      <c r="C1059" s="17" t="s">
        <v>81</v>
      </c>
      <c r="D1059" s="17" t="s">
        <v>98</v>
      </c>
      <c r="E1059" s="17" t="n">
        <v>7</v>
      </c>
      <c r="F1059" s="18" t="n">
        <v>60</v>
      </c>
      <c r="G1059" s="19" t="n">
        <v>0</v>
      </c>
      <c r="H1059" s="18" t="n">
        <v>420</v>
      </c>
      <c r="I1059" s="20"/>
    </row>
    <row r="1060" customFormat="false" ht="15" hidden="false" customHeight="false" outlineLevel="0" collapsed="false">
      <c r="A1060" s="16" t="n">
        <v>45984</v>
      </c>
      <c r="B1060" s="17" t="s">
        <v>1153</v>
      </c>
      <c r="C1060" s="17" t="s">
        <v>73</v>
      </c>
      <c r="D1060" s="17" t="s">
        <v>96</v>
      </c>
      <c r="E1060" s="17" t="n">
        <v>18</v>
      </c>
      <c r="F1060" s="18" t="n">
        <v>1450</v>
      </c>
      <c r="G1060" s="19" t="n">
        <v>0.1</v>
      </c>
      <c r="H1060" s="18" t="n">
        <v>23490</v>
      </c>
      <c r="I1060" s="20"/>
    </row>
    <row r="1061" customFormat="false" ht="15" hidden="false" customHeight="false" outlineLevel="0" collapsed="false">
      <c r="A1061" s="16" t="n">
        <v>45985</v>
      </c>
      <c r="B1061" s="17" t="s">
        <v>1154</v>
      </c>
      <c r="C1061" s="17" t="s">
        <v>70</v>
      </c>
      <c r="D1061" s="17" t="s">
        <v>92</v>
      </c>
      <c r="E1061" s="17" t="n">
        <v>19</v>
      </c>
      <c r="F1061" s="18" t="n">
        <v>850</v>
      </c>
      <c r="G1061" s="19" t="n">
        <v>0</v>
      </c>
      <c r="H1061" s="18" t="n">
        <v>16150</v>
      </c>
      <c r="I1061" s="20"/>
    </row>
    <row r="1062" customFormat="false" ht="15" hidden="false" customHeight="false" outlineLevel="0" collapsed="false">
      <c r="A1062" s="16" t="n">
        <v>45985</v>
      </c>
      <c r="B1062" s="17" t="s">
        <v>1155</v>
      </c>
      <c r="C1062" s="17" t="s">
        <v>78</v>
      </c>
      <c r="D1062" s="17" t="s">
        <v>96</v>
      </c>
      <c r="E1062" s="17" t="n">
        <v>2</v>
      </c>
      <c r="F1062" s="18" t="n">
        <v>95</v>
      </c>
      <c r="G1062" s="19" t="n">
        <v>0.05</v>
      </c>
      <c r="H1062" s="18" t="n">
        <v>180.5</v>
      </c>
      <c r="I1062" s="20"/>
    </row>
    <row r="1063" customFormat="false" ht="15" hidden="false" customHeight="false" outlineLevel="0" collapsed="false">
      <c r="A1063" s="16" t="n">
        <v>45985</v>
      </c>
      <c r="B1063" s="17" t="s">
        <v>1156</v>
      </c>
      <c r="C1063" s="17" t="s">
        <v>78</v>
      </c>
      <c r="D1063" s="17" t="s">
        <v>102</v>
      </c>
      <c r="E1063" s="17" t="n">
        <v>13</v>
      </c>
      <c r="F1063" s="18" t="n">
        <v>95</v>
      </c>
      <c r="G1063" s="19" t="n">
        <v>0.05</v>
      </c>
      <c r="H1063" s="18" t="n">
        <v>1173.25</v>
      </c>
      <c r="I1063" s="20"/>
    </row>
    <row r="1064" customFormat="false" ht="15" hidden="false" customHeight="false" outlineLevel="0" collapsed="false">
      <c r="A1064" s="16" t="n">
        <v>45985</v>
      </c>
      <c r="B1064" s="17" t="s">
        <v>1157</v>
      </c>
      <c r="C1064" s="17" t="s">
        <v>81</v>
      </c>
      <c r="D1064" s="17" t="s">
        <v>102</v>
      </c>
      <c r="E1064" s="17" t="n">
        <v>9</v>
      </c>
      <c r="F1064" s="18" t="n">
        <v>60</v>
      </c>
      <c r="G1064" s="19" t="n">
        <v>0.05</v>
      </c>
      <c r="H1064" s="18" t="n">
        <v>513</v>
      </c>
      <c r="I1064" s="20"/>
    </row>
    <row r="1065" customFormat="false" ht="15" hidden="false" customHeight="false" outlineLevel="0" collapsed="false">
      <c r="A1065" s="16" t="n">
        <v>45986</v>
      </c>
      <c r="B1065" s="17" t="s">
        <v>1158</v>
      </c>
      <c r="C1065" s="17" t="s">
        <v>81</v>
      </c>
      <c r="D1065" s="17" t="s">
        <v>102</v>
      </c>
      <c r="E1065" s="17" t="n">
        <v>2</v>
      </c>
      <c r="F1065" s="18" t="n">
        <v>60</v>
      </c>
      <c r="G1065" s="19" t="n">
        <v>0.05</v>
      </c>
      <c r="H1065" s="18" t="n">
        <v>114</v>
      </c>
      <c r="I1065" s="20"/>
    </row>
    <row r="1066" customFormat="false" ht="15" hidden="false" customHeight="false" outlineLevel="0" collapsed="false">
      <c r="A1066" s="16" t="n">
        <v>45986</v>
      </c>
      <c r="B1066" s="17" t="s">
        <v>1159</v>
      </c>
      <c r="C1066" s="17" t="s">
        <v>73</v>
      </c>
      <c r="D1066" s="17" t="s">
        <v>96</v>
      </c>
      <c r="E1066" s="17" t="n">
        <v>8</v>
      </c>
      <c r="F1066" s="18" t="n">
        <v>1450</v>
      </c>
      <c r="G1066" s="19" t="n">
        <v>0.1</v>
      </c>
      <c r="H1066" s="18" t="n">
        <v>10440</v>
      </c>
      <c r="I1066" s="20"/>
    </row>
    <row r="1067" customFormat="false" ht="15" hidden="false" customHeight="false" outlineLevel="0" collapsed="false">
      <c r="A1067" s="16" t="n">
        <v>45986</v>
      </c>
      <c r="B1067" s="17" t="s">
        <v>1160</v>
      </c>
      <c r="C1067" s="17" t="s">
        <v>78</v>
      </c>
      <c r="D1067" s="17" t="s">
        <v>102</v>
      </c>
      <c r="E1067" s="17" t="n">
        <v>2</v>
      </c>
      <c r="F1067" s="18" t="n">
        <v>95</v>
      </c>
      <c r="G1067" s="19" t="n">
        <v>0.05</v>
      </c>
      <c r="H1067" s="18" t="n">
        <v>180.5</v>
      </c>
      <c r="I1067" s="20"/>
    </row>
    <row r="1068" customFormat="false" ht="15" hidden="false" customHeight="false" outlineLevel="0" collapsed="false">
      <c r="A1068" s="16" t="n">
        <v>45986</v>
      </c>
      <c r="B1068" s="17" t="s">
        <v>1161</v>
      </c>
      <c r="C1068" s="17" t="s">
        <v>78</v>
      </c>
      <c r="D1068" s="17" t="s">
        <v>98</v>
      </c>
      <c r="E1068" s="17" t="n">
        <v>15</v>
      </c>
      <c r="F1068" s="18" t="n">
        <v>95</v>
      </c>
      <c r="G1068" s="19" t="n">
        <v>0.05</v>
      </c>
      <c r="H1068" s="18" t="n">
        <v>1353.75</v>
      </c>
      <c r="I1068" s="20"/>
    </row>
    <row r="1069" customFormat="false" ht="15" hidden="false" customHeight="false" outlineLevel="0" collapsed="false">
      <c r="A1069" s="16" t="n">
        <v>45987</v>
      </c>
      <c r="B1069" s="17" t="s">
        <v>1162</v>
      </c>
      <c r="C1069" s="17" t="s">
        <v>73</v>
      </c>
      <c r="D1069" s="17" t="s">
        <v>96</v>
      </c>
      <c r="E1069" s="17" t="n">
        <v>11</v>
      </c>
      <c r="F1069" s="18" t="n">
        <v>1450</v>
      </c>
      <c r="G1069" s="19" t="n">
        <v>0</v>
      </c>
      <c r="H1069" s="18" t="n">
        <v>15950</v>
      </c>
      <c r="I1069" s="20"/>
    </row>
    <row r="1070" customFormat="false" ht="15" hidden="false" customHeight="false" outlineLevel="0" collapsed="false">
      <c r="A1070" s="16" t="n">
        <v>45987</v>
      </c>
      <c r="B1070" s="17" t="s">
        <v>1163</v>
      </c>
      <c r="C1070" s="17" t="s">
        <v>75</v>
      </c>
      <c r="D1070" s="17" t="s">
        <v>96</v>
      </c>
      <c r="E1070" s="17" t="n">
        <v>19</v>
      </c>
      <c r="F1070" s="18" t="n">
        <v>120</v>
      </c>
      <c r="G1070" s="19" t="n">
        <v>0</v>
      </c>
      <c r="H1070" s="18" t="n">
        <v>2280</v>
      </c>
      <c r="I1070" s="20"/>
    </row>
    <row r="1071" customFormat="false" ht="15" hidden="false" customHeight="false" outlineLevel="0" collapsed="false">
      <c r="A1071" s="16" t="n">
        <v>45988</v>
      </c>
      <c r="B1071" s="17" t="s">
        <v>1164</v>
      </c>
      <c r="C1071" s="17" t="s">
        <v>78</v>
      </c>
      <c r="D1071" s="17" t="s">
        <v>92</v>
      </c>
      <c r="E1071" s="17" t="n">
        <v>20</v>
      </c>
      <c r="F1071" s="18" t="n">
        <v>95</v>
      </c>
      <c r="G1071" s="19" t="n">
        <v>0</v>
      </c>
      <c r="H1071" s="18" t="n">
        <v>1900</v>
      </c>
      <c r="I1071" s="20"/>
    </row>
    <row r="1072" customFormat="false" ht="15" hidden="false" customHeight="false" outlineLevel="0" collapsed="false">
      <c r="A1072" s="16" t="n">
        <v>45988</v>
      </c>
      <c r="B1072" s="17" t="s">
        <v>1165</v>
      </c>
      <c r="C1072" s="17" t="s">
        <v>75</v>
      </c>
      <c r="D1072" s="17" t="s">
        <v>98</v>
      </c>
      <c r="E1072" s="17" t="n">
        <v>2</v>
      </c>
      <c r="F1072" s="18" t="n">
        <v>120</v>
      </c>
      <c r="G1072" s="19" t="n">
        <v>0</v>
      </c>
      <c r="H1072" s="18" t="n">
        <v>240</v>
      </c>
      <c r="I1072" s="20"/>
    </row>
    <row r="1073" customFormat="false" ht="15" hidden="false" customHeight="false" outlineLevel="0" collapsed="false">
      <c r="A1073" s="16" t="n">
        <v>45988</v>
      </c>
      <c r="B1073" s="17" t="s">
        <v>1166</v>
      </c>
      <c r="C1073" s="17" t="s">
        <v>75</v>
      </c>
      <c r="D1073" s="17" t="s">
        <v>102</v>
      </c>
      <c r="E1073" s="17" t="n">
        <v>1</v>
      </c>
      <c r="F1073" s="18" t="n">
        <v>120</v>
      </c>
      <c r="G1073" s="19" t="n">
        <v>0.05</v>
      </c>
      <c r="H1073" s="18" t="n">
        <v>114</v>
      </c>
      <c r="I1073" s="20"/>
    </row>
    <row r="1074" customFormat="false" ht="15" hidden="false" customHeight="false" outlineLevel="0" collapsed="false">
      <c r="A1074" s="16" t="n">
        <v>45989</v>
      </c>
      <c r="B1074" s="17" t="s">
        <v>1167</v>
      </c>
      <c r="C1074" s="17" t="s">
        <v>73</v>
      </c>
      <c r="D1074" s="17" t="s">
        <v>102</v>
      </c>
      <c r="E1074" s="17" t="n">
        <v>4</v>
      </c>
      <c r="F1074" s="18" t="n">
        <v>1450</v>
      </c>
      <c r="G1074" s="19" t="n">
        <v>0</v>
      </c>
      <c r="H1074" s="18" t="n">
        <v>5800</v>
      </c>
      <c r="I1074" s="20"/>
    </row>
    <row r="1075" customFormat="false" ht="15" hidden="false" customHeight="false" outlineLevel="0" collapsed="false">
      <c r="A1075" s="16" t="n">
        <v>45989</v>
      </c>
      <c r="B1075" s="17" t="s">
        <v>1168</v>
      </c>
      <c r="C1075" s="17" t="s">
        <v>75</v>
      </c>
      <c r="D1075" s="17" t="s">
        <v>96</v>
      </c>
      <c r="E1075" s="17" t="n">
        <v>2</v>
      </c>
      <c r="F1075" s="18" t="n">
        <v>120</v>
      </c>
      <c r="G1075" s="19" t="n">
        <v>0</v>
      </c>
      <c r="H1075" s="18" t="n">
        <v>240</v>
      </c>
      <c r="I1075" s="20"/>
    </row>
    <row r="1076" customFormat="false" ht="15" hidden="false" customHeight="false" outlineLevel="0" collapsed="false">
      <c r="A1076" s="16" t="n">
        <v>45992</v>
      </c>
      <c r="B1076" s="17" t="s">
        <v>1169</v>
      </c>
      <c r="C1076" s="17" t="s">
        <v>78</v>
      </c>
      <c r="D1076" s="17" t="s">
        <v>92</v>
      </c>
      <c r="E1076" s="17" t="n">
        <v>4</v>
      </c>
      <c r="F1076" s="18" t="n">
        <v>95</v>
      </c>
      <c r="G1076" s="19" t="n">
        <v>0.1</v>
      </c>
      <c r="H1076" s="18" t="n">
        <v>342</v>
      </c>
      <c r="I1076" s="20"/>
    </row>
    <row r="1077" customFormat="false" ht="15" hidden="false" customHeight="false" outlineLevel="0" collapsed="false">
      <c r="A1077" s="16" t="n">
        <v>45992</v>
      </c>
      <c r="B1077" s="17" t="s">
        <v>1170</v>
      </c>
      <c r="C1077" s="17" t="s">
        <v>73</v>
      </c>
      <c r="D1077" s="17" t="s">
        <v>98</v>
      </c>
      <c r="E1077" s="17" t="n">
        <v>11</v>
      </c>
      <c r="F1077" s="18" t="n">
        <v>1450</v>
      </c>
      <c r="G1077" s="19" t="n">
        <v>0.1</v>
      </c>
      <c r="H1077" s="18" t="n">
        <v>14355</v>
      </c>
      <c r="I1077" s="20"/>
    </row>
    <row r="1078" customFormat="false" ht="15" hidden="false" customHeight="false" outlineLevel="0" collapsed="false">
      <c r="A1078" s="16" t="n">
        <v>45993</v>
      </c>
      <c r="B1078" s="17" t="s">
        <v>1171</v>
      </c>
      <c r="C1078" s="17" t="s">
        <v>78</v>
      </c>
      <c r="D1078" s="17" t="s">
        <v>96</v>
      </c>
      <c r="E1078" s="17" t="n">
        <v>1</v>
      </c>
      <c r="F1078" s="18" t="n">
        <v>95</v>
      </c>
      <c r="G1078" s="19" t="n">
        <v>0</v>
      </c>
      <c r="H1078" s="18" t="n">
        <v>95</v>
      </c>
      <c r="I1078" s="20"/>
    </row>
    <row r="1079" customFormat="false" ht="15" hidden="false" customHeight="false" outlineLevel="0" collapsed="false">
      <c r="A1079" s="16" t="n">
        <v>45993</v>
      </c>
      <c r="B1079" s="17" t="s">
        <v>1172</v>
      </c>
      <c r="C1079" s="17" t="s">
        <v>78</v>
      </c>
      <c r="D1079" s="17" t="s">
        <v>102</v>
      </c>
      <c r="E1079" s="17" t="n">
        <v>12</v>
      </c>
      <c r="F1079" s="18" t="n">
        <v>95</v>
      </c>
      <c r="G1079" s="19" t="n">
        <v>0.05</v>
      </c>
      <c r="H1079" s="18" t="n">
        <v>1083</v>
      </c>
      <c r="I1079" s="20"/>
    </row>
    <row r="1080" customFormat="false" ht="15" hidden="false" customHeight="false" outlineLevel="0" collapsed="false">
      <c r="A1080" s="16" t="n">
        <v>45993</v>
      </c>
      <c r="B1080" s="17" t="s">
        <v>1173</v>
      </c>
      <c r="C1080" s="17" t="s">
        <v>78</v>
      </c>
      <c r="D1080" s="17" t="s">
        <v>92</v>
      </c>
      <c r="E1080" s="17" t="n">
        <v>19</v>
      </c>
      <c r="F1080" s="18" t="n">
        <v>95</v>
      </c>
      <c r="G1080" s="19" t="n">
        <v>0</v>
      </c>
      <c r="H1080" s="18" t="n">
        <v>1805</v>
      </c>
      <c r="I1080" s="20"/>
    </row>
    <row r="1081" customFormat="false" ht="15" hidden="false" customHeight="false" outlineLevel="0" collapsed="false">
      <c r="A1081" s="16" t="n">
        <v>45994</v>
      </c>
      <c r="B1081" s="17" t="s">
        <v>1174</v>
      </c>
      <c r="C1081" s="17" t="s">
        <v>70</v>
      </c>
      <c r="D1081" s="17" t="s">
        <v>98</v>
      </c>
      <c r="E1081" s="17" t="n">
        <v>6</v>
      </c>
      <c r="F1081" s="18" t="n">
        <v>850</v>
      </c>
      <c r="G1081" s="19" t="n">
        <v>0</v>
      </c>
      <c r="H1081" s="18" t="n">
        <v>5100</v>
      </c>
      <c r="I1081" s="20"/>
    </row>
    <row r="1082" customFormat="false" ht="15" hidden="false" customHeight="false" outlineLevel="0" collapsed="false">
      <c r="A1082" s="16" t="n">
        <v>45994</v>
      </c>
      <c r="B1082" s="17" t="s">
        <v>1175</v>
      </c>
      <c r="C1082" s="17" t="s">
        <v>75</v>
      </c>
      <c r="D1082" s="17" t="s">
        <v>96</v>
      </c>
      <c r="E1082" s="17" t="n">
        <v>2</v>
      </c>
      <c r="F1082" s="18" t="n">
        <v>120</v>
      </c>
      <c r="G1082" s="19" t="n">
        <v>0.1</v>
      </c>
      <c r="H1082" s="18" t="n">
        <v>216</v>
      </c>
      <c r="I1082" s="20"/>
    </row>
    <row r="1083" customFormat="false" ht="15" hidden="false" customHeight="false" outlineLevel="0" collapsed="false">
      <c r="A1083" s="16" t="n">
        <v>45994</v>
      </c>
      <c r="B1083" s="17" t="s">
        <v>1176</v>
      </c>
      <c r="C1083" s="17" t="s">
        <v>70</v>
      </c>
      <c r="D1083" s="17" t="s">
        <v>96</v>
      </c>
      <c r="E1083" s="17" t="n">
        <v>17</v>
      </c>
      <c r="F1083" s="18" t="n">
        <v>850</v>
      </c>
      <c r="G1083" s="19" t="n">
        <v>0</v>
      </c>
      <c r="H1083" s="18" t="n">
        <v>14450</v>
      </c>
      <c r="I1083" s="20"/>
    </row>
    <row r="1084" customFormat="false" ht="15" hidden="false" customHeight="false" outlineLevel="0" collapsed="false">
      <c r="A1084" s="16" t="n">
        <v>45994</v>
      </c>
      <c r="B1084" s="17" t="s">
        <v>1177</v>
      </c>
      <c r="C1084" s="17" t="s">
        <v>73</v>
      </c>
      <c r="D1084" s="17" t="s">
        <v>98</v>
      </c>
      <c r="E1084" s="17" t="n">
        <v>3</v>
      </c>
      <c r="F1084" s="18" t="n">
        <v>1450</v>
      </c>
      <c r="G1084" s="19" t="n">
        <v>0</v>
      </c>
      <c r="H1084" s="18" t="n">
        <v>4350</v>
      </c>
      <c r="I1084" s="20"/>
    </row>
    <row r="1085" customFormat="false" ht="15" hidden="false" customHeight="false" outlineLevel="0" collapsed="false">
      <c r="A1085" s="16" t="n">
        <v>45995</v>
      </c>
      <c r="B1085" s="17" t="s">
        <v>1178</v>
      </c>
      <c r="C1085" s="17" t="s">
        <v>81</v>
      </c>
      <c r="D1085" s="17" t="s">
        <v>96</v>
      </c>
      <c r="E1085" s="17" t="n">
        <v>10</v>
      </c>
      <c r="F1085" s="18" t="n">
        <v>60</v>
      </c>
      <c r="G1085" s="19" t="n">
        <v>0</v>
      </c>
      <c r="H1085" s="18" t="n">
        <v>600</v>
      </c>
      <c r="I1085" s="20"/>
    </row>
    <row r="1086" customFormat="false" ht="15" hidden="false" customHeight="false" outlineLevel="0" collapsed="false">
      <c r="A1086" s="16" t="n">
        <v>45995</v>
      </c>
      <c r="B1086" s="17" t="s">
        <v>1179</v>
      </c>
      <c r="C1086" s="17" t="s">
        <v>78</v>
      </c>
      <c r="D1086" s="17" t="s">
        <v>102</v>
      </c>
      <c r="E1086" s="17" t="n">
        <v>5</v>
      </c>
      <c r="F1086" s="18" t="n">
        <v>95</v>
      </c>
      <c r="G1086" s="19" t="n">
        <v>0</v>
      </c>
      <c r="H1086" s="18" t="n">
        <v>475</v>
      </c>
      <c r="I1086" s="20"/>
    </row>
    <row r="1087" customFormat="false" ht="15" hidden="false" customHeight="false" outlineLevel="0" collapsed="false">
      <c r="A1087" s="16" t="n">
        <v>45995</v>
      </c>
      <c r="B1087" s="17" t="s">
        <v>1180</v>
      </c>
      <c r="C1087" s="17" t="s">
        <v>73</v>
      </c>
      <c r="D1087" s="17" t="s">
        <v>96</v>
      </c>
      <c r="E1087" s="17" t="n">
        <v>2</v>
      </c>
      <c r="F1087" s="18" t="n">
        <v>1450</v>
      </c>
      <c r="G1087" s="19" t="n">
        <v>0.1</v>
      </c>
      <c r="H1087" s="18" t="n">
        <v>2610</v>
      </c>
      <c r="I1087" s="20"/>
    </row>
    <row r="1088" customFormat="false" ht="15" hidden="false" customHeight="false" outlineLevel="0" collapsed="false">
      <c r="A1088" s="16" t="n">
        <v>45995</v>
      </c>
      <c r="B1088" s="17" t="s">
        <v>1181</v>
      </c>
      <c r="C1088" s="17" t="s">
        <v>70</v>
      </c>
      <c r="D1088" s="17" t="s">
        <v>102</v>
      </c>
      <c r="E1088" s="17" t="n">
        <v>12</v>
      </c>
      <c r="F1088" s="18" t="n">
        <v>850</v>
      </c>
      <c r="G1088" s="19" t="n">
        <v>0</v>
      </c>
      <c r="H1088" s="18" t="n">
        <v>10200</v>
      </c>
      <c r="I1088" s="20"/>
    </row>
    <row r="1089" customFormat="false" ht="15" hidden="false" customHeight="false" outlineLevel="0" collapsed="false">
      <c r="A1089" s="16" t="n">
        <v>45995</v>
      </c>
      <c r="B1089" s="17" t="s">
        <v>1182</v>
      </c>
      <c r="C1089" s="17" t="s">
        <v>78</v>
      </c>
      <c r="D1089" s="17" t="s">
        <v>102</v>
      </c>
      <c r="E1089" s="17" t="n">
        <v>9</v>
      </c>
      <c r="F1089" s="18" t="n">
        <v>95</v>
      </c>
      <c r="G1089" s="19" t="n">
        <v>0</v>
      </c>
      <c r="H1089" s="18" t="n">
        <v>855</v>
      </c>
      <c r="I1089" s="20"/>
    </row>
    <row r="1090" customFormat="false" ht="15" hidden="false" customHeight="false" outlineLevel="0" collapsed="false">
      <c r="A1090" s="16" t="n">
        <v>45996</v>
      </c>
      <c r="B1090" s="17" t="s">
        <v>1183</v>
      </c>
      <c r="C1090" s="17" t="s">
        <v>75</v>
      </c>
      <c r="D1090" s="17" t="s">
        <v>96</v>
      </c>
      <c r="E1090" s="17" t="n">
        <v>13</v>
      </c>
      <c r="F1090" s="18" t="n">
        <v>120</v>
      </c>
      <c r="G1090" s="19" t="n">
        <v>0.05</v>
      </c>
      <c r="H1090" s="18" t="n">
        <v>1482</v>
      </c>
      <c r="I1090" s="20"/>
    </row>
    <row r="1091" customFormat="false" ht="15" hidden="false" customHeight="false" outlineLevel="0" collapsed="false">
      <c r="A1091" s="16" t="n">
        <v>45996</v>
      </c>
      <c r="B1091" s="17" t="s">
        <v>1184</v>
      </c>
      <c r="C1091" s="17" t="s">
        <v>75</v>
      </c>
      <c r="D1091" s="17" t="s">
        <v>92</v>
      </c>
      <c r="E1091" s="17" t="n">
        <v>5</v>
      </c>
      <c r="F1091" s="18" t="n">
        <v>120</v>
      </c>
      <c r="G1091" s="19" t="n">
        <v>0.05</v>
      </c>
      <c r="H1091" s="18" t="n">
        <v>570</v>
      </c>
      <c r="I1091" s="20"/>
    </row>
    <row r="1092" customFormat="false" ht="15" hidden="false" customHeight="false" outlineLevel="0" collapsed="false">
      <c r="A1092" s="16" t="n">
        <v>45996</v>
      </c>
      <c r="B1092" s="17" t="s">
        <v>1185</v>
      </c>
      <c r="C1092" s="17" t="s">
        <v>75</v>
      </c>
      <c r="D1092" s="17" t="s">
        <v>92</v>
      </c>
      <c r="E1092" s="17" t="n">
        <v>13</v>
      </c>
      <c r="F1092" s="18" t="n">
        <v>120</v>
      </c>
      <c r="G1092" s="19" t="n">
        <v>0.05</v>
      </c>
      <c r="H1092" s="18" t="n">
        <v>1482</v>
      </c>
      <c r="I1092" s="20"/>
    </row>
    <row r="1093" customFormat="false" ht="15" hidden="false" customHeight="false" outlineLevel="0" collapsed="false">
      <c r="A1093" s="16" t="n">
        <v>45997</v>
      </c>
      <c r="B1093" s="17" t="s">
        <v>1186</v>
      </c>
      <c r="C1093" s="17" t="s">
        <v>78</v>
      </c>
      <c r="D1093" s="17" t="s">
        <v>96</v>
      </c>
      <c r="E1093" s="17" t="n">
        <v>13</v>
      </c>
      <c r="F1093" s="18" t="n">
        <v>95</v>
      </c>
      <c r="G1093" s="19" t="n">
        <v>0.1</v>
      </c>
      <c r="H1093" s="18" t="n">
        <v>1111.5</v>
      </c>
      <c r="I1093" s="20"/>
    </row>
    <row r="1094" customFormat="false" ht="15" hidden="false" customHeight="false" outlineLevel="0" collapsed="false">
      <c r="A1094" s="16" t="n">
        <v>45997</v>
      </c>
      <c r="B1094" s="17" t="s">
        <v>1187</v>
      </c>
      <c r="C1094" s="17" t="s">
        <v>81</v>
      </c>
      <c r="D1094" s="17" t="s">
        <v>96</v>
      </c>
      <c r="E1094" s="17" t="n">
        <v>20</v>
      </c>
      <c r="F1094" s="18" t="n">
        <v>60</v>
      </c>
      <c r="G1094" s="19" t="n">
        <v>0</v>
      </c>
      <c r="H1094" s="18" t="n">
        <v>1200</v>
      </c>
      <c r="I1094" s="20"/>
    </row>
    <row r="1095" customFormat="false" ht="15" hidden="false" customHeight="false" outlineLevel="0" collapsed="false">
      <c r="A1095" s="16" t="n">
        <v>45998</v>
      </c>
      <c r="B1095" s="17" t="s">
        <v>1188</v>
      </c>
      <c r="C1095" s="17" t="s">
        <v>70</v>
      </c>
      <c r="D1095" s="17" t="s">
        <v>98</v>
      </c>
      <c r="E1095" s="17" t="n">
        <v>7</v>
      </c>
      <c r="F1095" s="18" t="n">
        <v>850</v>
      </c>
      <c r="G1095" s="19" t="n">
        <v>0</v>
      </c>
      <c r="H1095" s="18" t="n">
        <v>5950</v>
      </c>
      <c r="I1095" s="20"/>
    </row>
    <row r="1096" customFormat="false" ht="15" hidden="false" customHeight="false" outlineLevel="0" collapsed="false">
      <c r="A1096" s="16" t="n">
        <v>45998</v>
      </c>
      <c r="B1096" s="17" t="s">
        <v>1189</v>
      </c>
      <c r="C1096" s="17" t="s">
        <v>75</v>
      </c>
      <c r="D1096" s="17" t="s">
        <v>96</v>
      </c>
      <c r="E1096" s="17" t="n">
        <v>5</v>
      </c>
      <c r="F1096" s="18" t="n">
        <v>120</v>
      </c>
      <c r="G1096" s="19" t="n">
        <v>0</v>
      </c>
      <c r="H1096" s="18" t="n">
        <v>600</v>
      </c>
      <c r="I1096" s="20"/>
    </row>
    <row r="1097" customFormat="false" ht="15" hidden="false" customHeight="false" outlineLevel="0" collapsed="false">
      <c r="A1097" s="16" t="n">
        <v>45998</v>
      </c>
      <c r="B1097" s="17" t="s">
        <v>1190</v>
      </c>
      <c r="C1097" s="17" t="s">
        <v>81</v>
      </c>
      <c r="D1097" s="17" t="s">
        <v>102</v>
      </c>
      <c r="E1097" s="17" t="n">
        <v>14</v>
      </c>
      <c r="F1097" s="18" t="n">
        <v>60</v>
      </c>
      <c r="G1097" s="19" t="n">
        <v>0.1</v>
      </c>
      <c r="H1097" s="18" t="n">
        <v>756</v>
      </c>
      <c r="I1097" s="20"/>
    </row>
    <row r="1098" customFormat="false" ht="15" hidden="false" customHeight="false" outlineLevel="0" collapsed="false">
      <c r="A1098" s="16" t="n">
        <v>45999</v>
      </c>
      <c r="B1098" s="17" t="s">
        <v>1191</v>
      </c>
      <c r="C1098" s="17" t="s">
        <v>73</v>
      </c>
      <c r="D1098" s="17" t="s">
        <v>102</v>
      </c>
      <c r="E1098" s="17" t="n">
        <v>15</v>
      </c>
      <c r="F1098" s="18" t="n">
        <v>1450</v>
      </c>
      <c r="G1098" s="19" t="n">
        <v>0.1</v>
      </c>
      <c r="H1098" s="18" t="n">
        <v>19575</v>
      </c>
      <c r="I1098" s="20"/>
    </row>
    <row r="1099" customFormat="false" ht="15" hidden="false" customHeight="false" outlineLevel="0" collapsed="false">
      <c r="A1099" s="16" t="n">
        <v>45999</v>
      </c>
      <c r="B1099" s="17" t="s">
        <v>1192</v>
      </c>
      <c r="C1099" s="17" t="s">
        <v>70</v>
      </c>
      <c r="D1099" s="17" t="s">
        <v>96</v>
      </c>
      <c r="E1099" s="17" t="n">
        <v>5</v>
      </c>
      <c r="F1099" s="18" t="n">
        <v>850</v>
      </c>
      <c r="G1099" s="19" t="n">
        <v>0</v>
      </c>
      <c r="H1099" s="18" t="n">
        <v>4250</v>
      </c>
      <c r="I1099" s="20"/>
    </row>
    <row r="1100" customFormat="false" ht="15" hidden="false" customHeight="false" outlineLevel="0" collapsed="false">
      <c r="A1100" s="16" t="n">
        <v>46000</v>
      </c>
      <c r="B1100" s="17" t="s">
        <v>1193</v>
      </c>
      <c r="C1100" s="17" t="s">
        <v>81</v>
      </c>
      <c r="D1100" s="17" t="s">
        <v>96</v>
      </c>
      <c r="E1100" s="17" t="n">
        <v>15</v>
      </c>
      <c r="F1100" s="18" t="n">
        <v>60</v>
      </c>
      <c r="G1100" s="19" t="n">
        <v>0</v>
      </c>
      <c r="H1100" s="18" t="n">
        <v>900</v>
      </c>
      <c r="I1100" s="20"/>
    </row>
    <row r="1101" customFormat="false" ht="15" hidden="false" customHeight="false" outlineLevel="0" collapsed="false">
      <c r="A1101" s="16" t="n">
        <v>46000</v>
      </c>
      <c r="B1101" s="17" t="s">
        <v>1194</v>
      </c>
      <c r="C1101" s="17" t="s">
        <v>75</v>
      </c>
      <c r="D1101" s="17" t="s">
        <v>96</v>
      </c>
      <c r="E1101" s="17" t="n">
        <v>15</v>
      </c>
      <c r="F1101" s="18" t="n">
        <v>120</v>
      </c>
      <c r="G1101" s="19" t="n">
        <v>0</v>
      </c>
      <c r="H1101" s="18" t="n">
        <v>1800</v>
      </c>
      <c r="I1101" s="20"/>
    </row>
    <row r="1102" customFormat="false" ht="15" hidden="false" customHeight="false" outlineLevel="0" collapsed="false">
      <c r="A1102" s="16" t="n">
        <v>46000</v>
      </c>
      <c r="B1102" s="17" t="s">
        <v>1195</v>
      </c>
      <c r="C1102" s="17" t="s">
        <v>70</v>
      </c>
      <c r="D1102" s="17" t="s">
        <v>98</v>
      </c>
      <c r="E1102" s="17" t="n">
        <v>19</v>
      </c>
      <c r="F1102" s="18" t="n">
        <v>850</v>
      </c>
      <c r="G1102" s="19" t="n">
        <v>0</v>
      </c>
      <c r="H1102" s="18" t="n">
        <v>16150</v>
      </c>
      <c r="I1102" s="20"/>
    </row>
    <row r="1103" customFormat="false" ht="15" hidden="false" customHeight="false" outlineLevel="0" collapsed="false">
      <c r="A1103" s="16" t="n">
        <v>46000</v>
      </c>
      <c r="B1103" s="17" t="s">
        <v>1196</v>
      </c>
      <c r="C1103" s="17" t="s">
        <v>70</v>
      </c>
      <c r="D1103" s="17" t="s">
        <v>102</v>
      </c>
      <c r="E1103" s="17" t="n">
        <v>5</v>
      </c>
      <c r="F1103" s="18" t="n">
        <v>850</v>
      </c>
      <c r="G1103" s="19" t="n">
        <v>0.05</v>
      </c>
      <c r="H1103" s="18" t="n">
        <v>4037.5</v>
      </c>
      <c r="I1103" s="20"/>
    </row>
    <row r="1104" customFormat="false" ht="15" hidden="false" customHeight="false" outlineLevel="0" collapsed="false">
      <c r="A1104" s="16" t="n">
        <v>46000</v>
      </c>
      <c r="B1104" s="17" t="s">
        <v>1197</v>
      </c>
      <c r="C1104" s="17" t="s">
        <v>81</v>
      </c>
      <c r="D1104" s="17" t="s">
        <v>92</v>
      </c>
      <c r="E1104" s="17" t="n">
        <v>11</v>
      </c>
      <c r="F1104" s="18" t="n">
        <v>60</v>
      </c>
      <c r="G1104" s="19" t="n">
        <v>0</v>
      </c>
      <c r="H1104" s="18" t="n">
        <v>660</v>
      </c>
      <c r="I1104" s="20"/>
    </row>
    <row r="1105" customFormat="false" ht="15" hidden="false" customHeight="false" outlineLevel="0" collapsed="false">
      <c r="A1105" s="16" t="n">
        <v>46000</v>
      </c>
      <c r="B1105" s="17" t="s">
        <v>1198</v>
      </c>
      <c r="C1105" s="17" t="s">
        <v>81</v>
      </c>
      <c r="D1105" s="17" t="s">
        <v>98</v>
      </c>
      <c r="E1105" s="17" t="n">
        <v>7</v>
      </c>
      <c r="F1105" s="18" t="n">
        <v>60</v>
      </c>
      <c r="G1105" s="19" t="n">
        <v>0</v>
      </c>
      <c r="H1105" s="18" t="n">
        <v>420</v>
      </c>
      <c r="I1105" s="20"/>
    </row>
    <row r="1106" customFormat="false" ht="15" hidden="false" customHeight="false" outlineLevel="0" collapsed="false">
      <c r="A1106" s="16" t="n">
        <v>46000</v>
      </c>
      <c r="B1106" s="17" t="s">
        <v>1199</v>
      </c>
      <c r="C1106" s="17" t="s">
        <v>81</v>
      </c>
      <c r="D1106" s="17" t="s">
        <v>98</v>
      </c>
      <c r="E1106" s="17" t="n">
        <v>14</v>
      </c>
      <c r="F1106" s="18" t="n">
        <v>60</v>
      </c>
      <c r="G1106" s="19" t="n">
        <v>0.1</v>
      </c>
      <c r="H1106" s="18" t="n">
        <v>756</v>
      </c>
      <c r="I1106" s="20"/>
    </row>
    <row r="1107" customFormat="false" ht="15" hidden="false" customHeight="false" outlineLevel="0" collapsed="false">
      <c r="A1107" s="16" t="n">
        <v>46001</v>
      </c>
      <c r="B1107" s="17" t="s">
        <v>1200</v>
      </c>
      <c r="C1107" s="17" t="s">
        <v>81</v>
      </c>
      <c r="D1107" s="17" t="s">
        <v>102</v>
      </c>
      <c r="E1107" s="17" t="n">
        <v>12</v>
      </c>
      <c r="F1107" s="18" t="n">
        <v>60</v>
      </c>
      <c r="G1107" s="19" t="n">
        <v>0</v>
      </c>
      <c r="H1107" s="18" t="n">
        <v>720</v>
      </c>
      <c r="I1107" s="20"/>
    </row>
    <row r="1108" customFormat="false" ht="15" hidden="false" customHeight="false" outlineLevel="0" collapsed="false">
      <c r="A1108" s="16" t="n">
        <v>46001</v>
      </c>
      <c r="B1108" s="17" t="s">
        <v>1201</v>
      </c>
      <c r="C1108" s="17" t="s">
        <v>81</v>
      </c>
      <c r="D1108" s="17" t="s">
        <v>92</v>
      </c>
      <c r="E1108" s="17" t="n">
        <v>9</v>
      </c>
      <c r="F1108" s="18" t="n">
        <v>60</v>
      </c>
      <c r="G1108" s="19" t="n">
        <v>0.1</v>
      </c>
      <c r="H1108" s="18" t="n">
        <v>486</v>
      </c>
      <c r="I1108" s="20"/>
    </row>
    <row r="1109" customFormat="false" ht="15" hidden="false" customHeight="false" outlineLevel="0" collapsed="false">
      <c r="A1109" s="16" t="n">
        <v>46001</v>
      </c>
      <c r="B1109" s="17" t="s">
        <v>1202</v>
      </c>
      <c r="C1109" s="17" t="s">
        <v>73</v>
      </c>
      <c r="D1109" s="17" t="s">
        <v>92</v>
      </c>
      <c r="E1109" s="17" t="n">
        <v>8</v>
      </c>
      <c r="F1109" s="18" t="n">
        <v>1450</v>
      </c>
      <c r="G1109" s="19" t="n">
        <v>0.05</v>
      </c>
      <c r="H1109" s="18" t="n">
        <v>11020</v>
      </c>
      <c r="I1109" s="20"/>
    </row>
    <row r="1110" customFormat="false" ht="15" hidden="false" customHeight="false" outlineLevel="0" collapsed="false">
      <c r="A1110" s="16" t="n">
        <v>46001</v>
      </c>
      <c r="B1110" s="17" t="s">
        <v>1203</v>
      </c>
      <c r="C1110" s="17" t="s">
        <v>70</v>
      </c>
      <c r="D1110" s="17" t="s">
        <v>102</v>
      </c>
      <c r="E1110" s="17" t="n">
        <v>6</v>
      </c>
      <c r="F1110" s="18" t="n">
        <v>850</v>
      </c>
      <c r="G1110" s="19" t="n">
        <v>0</v>
      </c>
      <c r="H1110" s="18" t="n">
        <v>5100</v>
      </c>
      <c r="I1110" s="20"/>
    </row>
    <row r="1111" customFormat="false" ht="15" hidden="false" customHeight="false" outlineLevel="0" collapsed="false">
      <c r="A1111" s="16" t="n">
        <v>46002</v>
      </c>
      <c r="B1111" s="17" t="s">
        <v>1204</v>
      </c>
      <c r="C1111" s="17" t="s">
        <v>78</v>
      </c>
      <c r="D1111" s="17" t="s">
        <v>92</v>
      </c>
      <c r="E1111" s="17" t="n">
        <v>11</v>
      </c>
      <c r="F1111" s="18" t="n">
        <v>95</v>
      </c>
      <c r="G1111" s="19" t="n">
        <v>0.05</v>
      </c>
      <c r="H1111" s="18" t="n">
        <v>992.75</v>
      </c>
      <c r="I1111" s="20"/>
    </row>
    <row r="1112" customFormat="false" ht="15" hidden="false" customHeight="false" outlineLevel="0" collapsed="false">
      <c r="A1112" s="16" t="n">
        <v>46002</v>
      </c>
      <c r="B1112" s="17" t="s">
        <v>1205</v>
      </c>
      <c r="C1112" s="17" t="s">
        <v>81</v>
      </c>
      <c r="D1112" s="17" t="s">
        <v>102</v>
      </c>
      <c r="E1112" s="17" t="n">
        <v>5</v>
      </c>
      <c r="F1112" s="18" t="n">
        <v>60</v>
      </c>
      <c r="G1112" s="19" t="n">
        <v>0.05</v>
      </c>
      <c r="H1112" s="18" t="n">
        <v>285</v>
      </c>
      <c r="I1112" s="20"/>
    </row>
    <row r="1113" customFormat="false" ht="15" hidden="false" customHeight="false" outlineLevel="0" collapsed="false">
      <c r="A1113" s="16" t="n">
        <v>46002</v>
      </c>
      <c r="B1113" s="17" t="s">
        <v>1206</v>
      </c>
      <c r="C1113" s="17" t="s">
        <v>81</v>
      </c>
      <c r="D1113" s="17" t="s">
        <v>92</v>
      </c>
      <c r="E1113" s="17" t="n">
        <v>13</v>
      </c>
      <c r="F1113" s="18" t="n">
        <v>60</v>
      </c>
      <c r="G1113" s="19" t="n">
        <v>0.1</v>
      </c>
      <c r="H1113" s="18" t="n">
        <v>702</v>
      </c>
      <c r="I1113" s="20"/>
    </row>
    <row r="1114" customFormat="false" ht="15" hidden="false" customHeight="false" outlineLevel="0" collapsed="false">
      <c r="A1114" s="16" t="n">
        <v>46002</v>
      </c>
      <c r="B1114" s="17" t="s">
        <v>1207</v>
      </c>
      <c r="C1114" s="17" t="s">
        <v>81</v>
      </c>
      <c r="D1114" s="17" t="s">
        <v>96</v>
      </c>
      <c r="E1114" s="17" t="n">
        <v>20</v>
      </c>
      <c r="F1114" s="18" t="n">
        <v>60</v>
      </c>
      <c r="G1114" s="19" t="n">
        <v>0</v>
      </c>
      <c r="H1114" s="18" t="n">
        <v>1200</v>
      </c>
      <c r="I1114" s="20"/>
    </row>
    <row r="1115" customFormat="false" ht="15" hidden="false" customHeight="false" outlineLevel="0" collapsed="false">
      <c r="A1115" s="16" t="n">
        <v>46002</v>
      </c>
      <c r="B1115" s="17" t="s">
        <v>1208</v>
      </c>
      <c r="C1115" s="17" t="s">
        <v>75</v>
      </c>
      <c r="D1115" s="17" t="s">
        <v>102</v>
      </c>
      <c r="E1115" s="17" t="n">
        <v>1</v>
      </c>
      <c r="F1115" s="18" t="n">
        <v>120</v>
      </c>
      <c r="G1115" s="19" t="n">
        <v>0.1</v>
      </c>
      <c r="H1115" s="18" t="n">
        <v>108</v>
      </c>
      <c r="I1115" s="20"/>
    </row>
    <row r="1116" customFormat="false" ht="15" hidden="false" customHeight="false" outlineLevel="0" collapsed="false">
      <c r="A1116" s="16" t="n">
        <v>46002</v>
      </c>
      <c r="B1116" s="17" t="s">
        <v>1209</v>
      </c>
      <c r="C1116" s="17" t="s">
        <v>78</v>
      </c>
      <c r="D1116" s="17" t="s">
        <v>92</v>
      </c>
      <c r="E1116" s="17" t="n">
        <v>11</v>
      </c>
      <c r="F1116" s="18" t="n">
        <v>95</v>
      </c>
      <c r="G1116" s="19" t="n">
        <v>0</v>
      </c>
      <c r="H1116" s="18" t="n">
        <v>1045</v>
      </c>
      <c r="I1116" s="20"/>
    </row>
    <row r="1117" customFormat="false" ht="15" hidden="false" customHeight="false" outlineLevel="0" collapsed="false">
      <c r="A1117" s="16" t="n">
        <v>46003</v>
      </c>
      <c r="B1117" s="17" t="s">
        <v>1210</v>
      </c>
      <c r="C1117" s="17" t="s">
        <v>78</v>
      </c>
      <c r="D1117" s="17" t="s">
        <v>98</v>
      </c>
      <c r="E1117" s="17" t="n">
        <v>20</v>
      </c>
      <c r="F1117" s="18" t="n">
        <v>95</v>
      </c>
      <c r="G1117" s="19" t="n">
        <v>0.05</v>
      </c>
      <c r="H1117" s="18" t="n">
        <v>1805</v>
      </c>
      <c r="I1117" s="20"/>
    </row>
    <row r="1118" customFormat="false" ht="15" hidden="false" customHeight="false" outlineLevel="0" collapsed="false">
      <c r="A1118" s="16" t="n">
        <v>46003</v>
      </c>
      <c r="B1118" s="17" t="s">
        <v>1211</v>
      </c>
      <c r="C1118" s="17" t="s">
        <v>70</v>
      </c>
      <c r="D1118" s="17" t="s">
        <v>96</v>
      </c>
      <c r="E1118" s="17" t="n">
        <v>3</v>
      </c>
      <c r="F1118" s="18" t="n">
        <v>850</v>
      </c>
      <c r="G1118" s="19" t="n">
        <v>0</v>
      </c>
      <c r="H1118" s="18" t="n">
        <v>2550</v>
      </c>
      <c r="I1118" s="20"/>
    </row>
    <row r="1119" customFormat="false" ht="15" hidden="false" customHeight="false" outlineLevel="0" collapsed="false">
      <c r="A1119" s="16" t="n">
        <v>46003</v>
      </c>
      <c r="B1119" s="17" t="s">
        <v>1212</v>
      </c>
      <c r="C1119" s="17" t="s">
        <v>81</v>
      </c>
      <c r="D1119" s="17" t="s">
        <v>102</v>
      </c>
      <c r="E1119" s="17" t="n">
        <v>18</v>
      </c>
      <c r="F1119" s="18" t="n">
        <v>60</v>
      </c>
      <c r="G1119" s="19" t="n">
        <v>0</v>
      </c>
      <c r="H1119" s="18" t="n">
        <v>1080</v>
      </c>
      <c r="I1119" s="20"/>
    </row>
    <row r="1120" customFormat="false" ht="15" hidden="false" customHeight="false" outlineLevel="0" collapsed="false">
      <c r="A1120" s="16" t="n">
        <v>46004</v>
      </c>
      <c r="B1120" s="17" t="s">
        <v>1213</v>
      </c>
      <c r="C1120" s="17" t="s">
        <v>81</v>
      </c>
      <c r="D1120" s="17" t="s">
        <v>98</v>
      </c>
      <c r="E1120" s="17" t="n">
        <v>12</v>
      </c>
      <c r="F1120" s="18" t="n">
        <v>60</v>
      </c>
      <c r="G1120" s="19" t="n">
        <v>0.1</v>
      </c>
      <c r="H1120" s="18" t="n">
        <v>648</v>
      </c>
      <c r="I1120" s="20"/>
    </row>
    <row r="1121" customFormat="false" ht="15" hidden="false" customHeight="false" outlineLevel="0" collapsed="false">
      <c r="A1121" s="16" t="n">
        <v>46004</v>
      </c>
      <c r="B1121" s="17" t="s">
        <v>1214</v>
      </c>
      <c r="C1121" s="17" t="s">
        <v>73</v>
      </c>
      <c r="D1121" s="17" t="s">
        <v>98</v>
      </c>
      <c r="E1121" s="17" t="n">
        <v>20</v>
      </c>
      <c r="F1121" s="18" t="n">
        <v>1450</v>
      </c>
      <c r="G1121" s="19" t="n">
        <v>0.05</v>
      </c>
      <c r="H1121" s="18" t="n">
        <v>27550</v>
      </c>
      <c r="I1121" s="20"/>
    </row>
    <row r="1122" customFormat="false" ht="15" hidden="false" customHeight="false" outlineLevel="0" collapsed="false">
      <c r="A1122" s="16" t="n">
        <v>46004</v>
      </c>
      <c r="B1122" s="17" t="s">
        <v>1215</v>
      </c>
      <c r="C1122" s="17" t="s">
        <v>75</v>
      </c>
      <c r="D1122" s="17" t="s">
        <v>96</v>
      </c>
      <c r="E1122" s="17" t="n">
        <v>18</v>
      </c>
      <c r="F1122" s="18" t="n">
        <v>120</v>
      </c>
      <c r="G1122" s="19" t="n">
        <v>0</v>
      </c>
      <c r="H1122" s="18" t="n">
        <v>2160</v>
      </c>
      <c r="I1122" s="20"/>
    </row>
    <row r="1123" customFormat="false" ht="15" hidden="false" customHeight="false" outlineLevel="0" collapsed="false">
      <c r="A1123" s="16" t="n">
        <v>46005</v>
      </c>
      <c r="B1123" s="17" t="s">
        <v>1216</v>
      </c>
      <c r="C1123" s="17" t="s">
        <v>70</v>
      </c>
      <c r="D1123" s="17" t="s">
        <v>102</v>
      </c>
      <c r="E1123" s="17" t="n">
        <v>7</v>
      </c>
      <c r="F1123" s="18" t="n">
        <v>850</v>
      </c>
      <c r="G1123" s="19" t="n">
        <v>0.1</v>
      </c>
      <c r="H1123" s="18" t="n">
        <v>5355</v>
      </c>
      <c r="I1123" s="20"/>
    </row>
    <row r="1124" customFormat="false" ht="15" hidden="false" customHeight="false" outlineLevel="0" collapsed="false">
      <c r="A1124" s="16" t="n">
        <v>46006</v>
      </c>
      <c r="B1124" s="17" t="s">
        <v>1217</v>
      </c>
      <c r="C1124" s="17" t="s">
        <v>81</v>
      </c>
      <c r="D1124" s="17" t="s">
        <v>98</v>
      </c>
      <c r="E1124" s="17" t="n">
        <v>4</v>
      </c>
      <c r="F1124" s="18" t="n">
        <v>60</v>
      </c>
      <c r="G1124" s="19" t="n">
        <v>0</v>
      </c>
      <c r="H1124" s="18" t="n">
        <v>240</v>
      </c>
      <c r="I1124" s="20"/>
    </row>
    <row r="1125" customFormat="false" ht="15" hidden="false" customHeight="false" outlineLevel="0" collapsed="false">
      <c r="A1125" s="16" t="n">
        <v>46007</v>
      </c>
      <c r="B1125" s="17" t="s">
        <v>1218</v>
      </c>
      <c r="C1125" s="17" t="s">
        <v>70</v>
      </c>
      <c r="D1125" s="17" t="s">
        <v>98</v>
      </c>
      <c r="E1125" s="17" t="n">
        <v>2</v>
      </c>
      <c r="F1125" s="18" t="n">
        <v>850</v>
      </c>
      <c r="G1125" s="19" t="n">
        <v>0</v>
      </c>
      <c r="H1125" s="18" t="n">
        <v>1700</v>
      </c>
      <c r="I1125" s="20"/>
    </row>
    <row r="1126" customFormat="false" ht="15" hidden="false" customHeight="false" outlineLevel="0" collapsed="false">
      <c r="A1126" s="16" t="n">
        <v>46007</v>
      </c>
      <c r="B1126" s="17" t="s">
        <v>1219</v>
      </c>
      <c r="C1126" s="17" t="s">
        <v>70</v>
      </c>
      <c r="D1126" s="17" t="s">
        <v>96</v>
      </c>
      <c r="E1126" s="17" t="n">
        <v>4</v>
      </c>
      <c r="F1126" s="18" t="n">
        <v>850</v>
      </c>
      <c r="G1126" s="19" t="n">
        <v>0.05</v>
      </c>
      <c r="H1126" s="18" t="n">
        <v>3230</v>
      </c>
      <c r="I1126" s="20"/>
    </row>
    <row r="1127" customFormat="false" ht="15" hidden="false" customHeight="false" outlineLevel="0" collapsed="false">
      <c r="A1127" s="16" t="n">
        <v>46007</v>
      </c>
      <c r="B1127" s="17" t="s">
        <v>1220</v>
      </c>
      <c r="C1127" s="17" t="s">
        <v>75</v>
      </c>
      <c r="D1127" s="17" t="s">
        <v>96</v>
      </c>
      <c r="E1127" s="17" t="n">
        <v>10</v>
      </c>
      <c r="F1127" s="18" t="n">
        <v>120</v>
      </c>
      <c r="G1127" s="19" t="n">
        <v>0</v>
      </c>
      <c r="H1127" s="18" t="n">
        <v>1200</v>
      </c>
      <c r="I1127" s="20"/>
    </row>
    <row r="1128" customFormat="false" ht="15" hidden="false" customHeight="false" outlineLevel="0" collapsed="false">
      <c r="A1128" s="16" t="n">
        <v>46007</v>
      </c>
      <c r="B1128" s="17" t="s">
        <v>1221</v>
      </c>
      <c r="C1128" s="17" t="s">
        <v>73</v>
      </c>
      <c r="D1128" s="17" t="s">
        <v>102</v>
      </c>
      <c r="E1128" s="17" t="n">
        <v>6</v>
      </c>
      <c r="F1128" s="18" t="n">
        <v>1450</v>
      </c>
      <c r="G1128" s="19" t="n">
        <v>0</v>
      </c>
      <c r="H1128" s="18" t="n">
        <v>8700</v>
      </c>
      <c r="I1128" s="20"/>
    </row>
    <row r="1129" customFormat="false" ht="15" hidden="false" customHeight="false" outlineLevel="0" collapsed="false">
      <c r="A1129" s="16" t="n">
        <v>46007</v>
      </c>
      <c r="B1129" s="17" t="s">
        <v>1222</v>
      </c>
      <c r="C1129" s="17" t="s">
        <v>75</v>
      </c>
      <c r="D1129" s="17" t="s">
        <v>98</v>
      </c>
      <c r="E1129" s="17" t="n">
        <v>6</v>
      </c>
      <c r="F1129" s="18" t="n">
        <v>120</v>
      </c>
      <c r="G1129" s="19" t="n">
        <v>0</v>
      </c>
      <c r="H1129" s="18" t="n">
        <v>720</v>
      </c>
      <c r="I1129" s="20"/>
    </row>
    <row r="1130" customFormat="false" ht="15" hidden="false" customHeight="false" outlineLevel="0" collapsed="false">
      <c r="A1130" s="16" t="n">
        <v>46007</v>
      </c>
      <c r="B1130" s="17" t="s">
        <v>1223</v>
      </c>
      <c r="C1130" s="17" t="s">
        <v>78</v>
      </c>
      <c r="D1130" s="17" t="s">
        <v>96</v>
      </c>
      <c r="E1130" s="17" t="n">
        <v>13</v>
      </c>
      <c r="F1130" s="18" t="n">
        <v>95</v>
      </c>
      <c r="G1130" s="19" t="n">
        <v>0</v>
      </c>
      <c r="H1130" s="18" t="n">
        <v>1235</v>
      </c>
      <c r="I1130" s="20"/>
    </row>
    <row r="1131" customFormat="false" ht="15" hidden="false" customHeight="false" outlineLevel="0" collapsed="false">
      <c r="A1131" s="16" t="n">
        <v>46008</v>
      </c>
      <c r="B1131" s="17" t="s">
        <v>1224</v>
      </c>
      <c r="C1131" s="17" t="s">
        <v>75</v>
      </c>
      <c r="D1131" s="17" t="s">
        <v>102</v>
      </c>
      <c r="E1131" s="17" t="n">
        <v>5</v>
      </c>
      <c r="F1131" s="18" t="n">
        <v>120</v>
      </c>
      <c r="G1131" s="19" t="n">
        <v>0.1</v>
      </c>
      <c r="H1131" s="18" t="n">
        <v>540</v>
      </c>
      <c r="I1131" s="20"/>
    </row>
    <row r="1132" customFormat="false" ht="15" hidden="false" customHeight="false" outlineLevel="0" collapsed="false">
      <c r="A1132" s="16" t="n">
        <v>46008</v>
      </c>
      <c r="B1132" s="17" t="s">
        <v>1225</v>
      </c>
      <c r="C1132" s="17" t="s">
        <v>70</v>
      </c>
      <c r="D1132" s="17" t="s">
        <v>102</v>
      </c>
      <c r="E1132" s="17" t="n">
        <v>4</v>
      </c>
      <c r="F1132" s="18" t="n">
        <v>850</v>
      </c>
      <c r="G1132" s="19" t="n">
        <v>0</v>
      </c>
      <c r="H1132" s="18" t="n">
        <v>3400</v>
      </c>
      <c r="I1132" s="20"/>
    </row>
    <row r="1133" customFormat="false" ht="15" hidden="false" customHeight="false" outlineLevel="0" collapsed="false">
      <c r="A1133" s="16" t="n">
        <v>46008</v>
      </c>
      <c r="B1133" s="17" t="s">
        <v>1226</v>
      </c>
      <c r="C1133" s="17" t="s">
        <v>78</v>
      </c>
      <c r="D1133" s="17" t="s">
        <v>102</v>
      </c>
      <c r="E1133" s="17" t="n">
        <v>2</v>
      </c>
      <c r="F1133" s="18" t="n">
        <v>95</v>
      </c>
      <c r="G1133" s="19" t="n">
        <v>0.1</v>
      </c>
      <c r="H1133" s="18" t="n">
        <v>171</v>
      </c>
      <c r="I1133" s="20"/>
    </row>
    <row r="1134" customFormat="false" ht="15" hidden="false" customHeight="false" outlineLevel="0" collapsed="false">
      <c r="A1134" s="16" t="n">
        <v>46008</v>
      </c>
      <c r="B1134" s="17" t="s">
        <v>1227</v>
      </c>
      <c r="C1134" s="17" t="s">
        <v>78</v>
      </c>
      <c r="D1134" s="17" t="s">
        <v>102</v>
      </c>
      <c r="E1134" s="17" t="n">
        <v>4</v>
      </c>
      <c r="F1134" s="18" t="n">
        <v>95</v>
      </c>
      <c r="G1134" s="19" t="n">
        <v>0</v>
      </c>
      <c r="H1134" s="18" t="n">
        <v>380</v>
      </c>
      <c r="I1134" s="20"/>
    </row>
    <row r="1135" customFormat="false" ht="15" hidden="false" customHeight="false" outlineLevel="0" collapsed="false">
      <c r="A1135" s="16" t="n">
        <v>46009</v>
      </c>
      <c r="B1135" s="17" t="s">
        <v>1228</v>
      </c>
      <c r="C1135" s="17" t="s">
        <v>73</v>
      </c>
      <c r="D1135" s="17" t="s">
        <v>102</v>
      </c>
      <c r="E1135" s="17" t="n">
        <v>10</v>
      </c>
      <c r="F1135" s="18" t="n">
        <v>1450</v>
      </c>
      <c r="G1135" s="19" t="n">
        <v>0.1</v>
      </c>
      <c r="H1135" s="18" t="n">
        <v>13050</v>
      </c>
      <c r="I1135" s="20"/>
    </row>
    <row r="1136" customFormat="false" ht="15" hidden="false" customHeight="false" outlineLevel="0" collapsed="false">
      <c r="A1136" s="16" t="n">
        <v>46010</v>
      </c>
      <c r="B1136" s="17" t="s">
        <v>1229</v>
      </c>
      <c r="C1136" s="17" t="s">
        <v>78</v>
      </c>
      <c r="D1136" s="17" t="s">
        <v>96</v>
      </c>
      <c r="E1136" s="17" t="n">
        <v>9</v>
      </c>
      <c r="F1136" s="18" t="n">
        <v>95</v>
      </c>
      <c r="G1136" s="19" t="n">
        <v>0.1</v>
      </c>
      <c r="H1136" s="18" t="n">
        <v>769.5</v>
      </c>
      <c r="I1136" s="20"/>
    </row>
    <row r="1137" customFormat="false" ht="15" hidden="false" customHeight="false" outlineLevel="0" collapsed="false">
      <c r="A1137" s="16" t="n">
        <v>46010</v>
      </c>
      <c r="B1137" s="17" t="s">
        <v>1230</v>
      </c>
      <c r="C1137" s="17" t="s">
        <v>78</v>
      </c>
      <c r="D1137" s="17" t="s">
        <v>92</v>
      </c>
      <c r="E1137" s="17" t="n">
        <v>19</v>
      </c>
      <c r="F1137" s="18" t="n">
        <v>95</v>
      </c>
      <c r="G1137" s="19" t="n">
        <v>0.1</v>
      </c>
      <c r="H1137" s="18" t="n">
        <v>1624.5</v>
      </c>
      <c r="I1137" s="20"/>
    </row>
    <row r="1138" customFormat="false" ht="15" hidden="false" customHeight="false" outlineLevel="0" collapsed="false">
      <c r="A1138" s="16" t="n">
        <v>46011</v>
      </c>
      <c r="B1138" s="17" t="s">
        <v>1231</v>
      </c>
      <c r="C1138" s="17" t="s">
        <v>70</v>
      </c>
      <c r="D1138" s="17" t="s">
        <v>98</v>
      </c>
      <c r="E1138" s="17" t="n">
        <v>2</v>
      </c>
      <c r="F1138" s="18" t="n">
        <v>850</v>
      </c>
      <c r="G1138" s="19" t="n">
        <v>0</v>
      </c>
      <c r="H1138" s="18" t="n">
        <v>1700</v>
      </c>
      <c r="I1138" s="20"/>
    </row>
    <row r="1139" customFormat="false" ht="15" hidden="false" customHeight="false" outlineLevel="0" collapsed="false">
      <c r="A1139" s="16" t="n">
        <v>46011</v>
      </c>
      <c r="B1139" s="17" t="s">
        <v>1232</v>
      </c>
      <c r="C1139" s="17" t="s">
        <v>70</v>
      </c>
      <c r="D1139" s="17" t="s">
        <v>96</v>
      </c>
      <c r="E1139" s="17" t="n">
        <v>12</v>
      </c>
      <c r="F1139" s="18" t="n">
        <v>850</v>
      </c>
      <c r="G1139" s="19" t="n">
        <v>0</v>
      </c>
      <c r="H1139" s="18" t="n">
        <v>10200</v>
      </c>
      <c r="I1139" s="20"/>
    </row>
    <row r="1140" customFormat="false" ht="15" hidden="false" customHeight="false" outlineLevel="0" collapsed="false">
      <c r="A1140" s="16" t="n">
        <v>46012</v>
      </c>
      <c r="B1140" s="17" t="s">
        <v>1233</v>
      </c>
      <c r="C1140" s="17" t="s">
        <v>78</v>
      </c>
      <c r="D1140" s="17" t="s">
        <v>98</v>
      </c>
      <c r="E1140" s="17" t="n">
        <v>9</v>
      </c>
      <c r="F1140" s="18" t="n">
        <v>95</v>
      </c>
      <c r="G1140" s="19" t="n">
        <v>0</v>
      </c>
      <c r="H1140" s="18" t="n">
        <v>855</v>
      </c>
      <c r="I1140" s="20"/>
    </row>
    <row r="1141" customFormat="false" ht="15" hidden="false" customHeight="false" outlineLevel="0" collapsed="false">
      <c r="A1141" s="16" t="n">
        <v>46012</v>
      </c>
      <c r="B1141" s="17" t="s">
        <v>1234</v>
      </c>
      <c r="C1141" s="17" t="s">
        <v>78</v>
      </c>
      <c r="D1141" s="17" t="s">
        <v>96</v>
      </c>
      <c r="E1141" s="17" t="n">
        <v>10</v>
      </c>
      <c r="F1141" s="18" t="n">
        <v>95</v>
      </c>
      <c r="G1141" s="19" t="n">
        <v>0</v>
      </c>
      <c r="H1141" s="18" t="n">
        <v>950</v>
      </c>
      <c r="I1141" s="20"/>
    </row>
    <row r="1142" customFormat="false" ht="15" hidden="false" customHeight="false" outlineLevel="0" collapsed="false">
      <c r="A1142" s="16" t="n">
        <v>46012</v>
      </c>
      <c r="B1142" s="17" t="s">
        <v>1235</v>
      </c>
      <c r="C1142" s="17" t="s">
        <v>81</v>
      </c>
      <c r="D1142" s="17" t="s">
        <v>102</v>
      </c>
      <c r="E1142" s="17" t="n">
        <v>14</v>
      </c>
      <c r="F1142" s="18" t="n">
        <v>60</v>
      </c>
      <c r="G1142" s="19" t="n">
        <v>0</v>
      </c>
      <c r="H1142" s="18" t="n">
        <v>840</v>
      </c>
      <c r="I1142" s="20"/>
    </row>
    <row r="1143" customFormat="false" ht="15" hidden="false" customHeight="false" outlineLevel="0" collapsed="false">
      <c r="A1143" s="16" t="n">
        <v>46012</v>
      </c>
      <c r="B1143" s="17" t="s">
        <v>1236</v>
      </c>
      <c r="C1143" s="17" t="s">
        <v>73</v>
      </c>
      <c r="D1143" s="17" t="s">
        <v>92</v>
      </c>
      <c r="E1143" s="17" t="n">
        <v>18</v>
      </c>
      <c r="F1143" s="18" t="n">
        <v>1450</v>
      </c>
      <c r="G1143" s="19" t="n">
        <v>0.1</v>
      </c>
      <c r="H1143" s="18" t="n">
        <v>23490</v>
      </c>
      <c r="I1143" s="20"/>
    </row>
    <row r="1144" customFormat="false" ht="15" hidden="false" customHeight="false" outlineLevel="0" collapsed="false">
      <c r="A1144" s="16" t="n">
        <v>46012</v>
      </c>
      <c r="B1144" s="17" t="s">
        <v>1237</v>
      </c>
      <c r="C1144" s="17" t="s">
        <v>70</v>
      </c>
      <c r="D1144" s="17" t="s">
        <v>102</v>
      </c>
      <c r="E1144" s="17" t="n">
        <v>14</v>
      </c>
      <c r="F1144" s="18" t="n">
        <v>850</v>
      </c>
      <c r="G1144" s="19" t="n">
        <v>0</v>
      </c>
      <c r="H1144" s="18" t="n">
        <v>11900</v>
      </c>
      <c r="I1144" s="20"/>
    </row>
    <row r="1145" customFormat="false" ht="15" hidden="false" customHeight="false" outlineLevel="0" collapsed="false">
      <c r="A1145" s="16" t="n">
        <v>46012</v>
      </c>
      <c r="B1145" s="17" t="s">
        <v>1238</v>
      </c>
      <c r="C1145" s="17" t="s">
        <v>75</v>
      </c>
      <c r="D1145" s="17" t="s">
        <v>98</v>
      </c>
      <c r="E1145" s="17" t="n">
        <v>19</v>
      </c>
      <c r="F1145" s="18" t="n">
        <v>120</v>
      </c>
      <c r="G1145" s="19" t="n">
        <v>0.1</v>
      </c>
      <c r="H1145" s="18" t="n">
        <v>2052</v>
      </c>
      <c r="I1145" s="20"/>
    </row>
    <row r="1146" customFormat="false" ht="15" hidden="false" customHeight="false" outlineLevel="0" collapsed="false">
      <c r="A1146" s="16" t="n">
        <v>46013</v>
      </c>
      <c r="B1146" s="17" t="s">
        <v>1239</v>
      </c>
      <c r="C1146" s="17" t="s">
        <v>70</v>
      </c>
      <c r="D1146" s="17" t="s">
        <v>98</v>
      </c>
      <c r="E1146" s="17" t="n">
        <v>11</v>
      </c>
      <c r="F1146" s="18" t="n">
        <v>850</v>
      </c>
      <c r="G1146" s="19" t="n">
        <v>0</v>
      </c>
      <c r="H1146" s="18" t="n">
        <v>9350</v>
      </c>
      <c r="I1146" s="20"/>
    </row>
    <row r="1147" customFormat="false" ht="15" hidden="false" customHeight="false" outlineLevel="0" collapsed="false">
      <c r="A1147" s="16" t="n">
        <v>46013</v>
      </c>
      <c r="B1147" s="17" t="s">
        <v>1240</v>
      </c>
      <c r="C1147" s="17" t="s">
        <v>75</v>
      </c>
      <c r="D1147" s="17" t="s">
        <v>96</v>
      </c>
      <c r="E1147" s="17" t="n">
        <v>11</v>
      </c>
      <c r="F1147" s="18" t="n">
        <v>120</v>
      </c>
      <c r="G1147" s="19" t="n">
        <v>0</v>
      </c>
      <c r="H1147" s="18" t="n">
        <v>1320</v>
      </c>
      <c r="I1147" s="20"/>
    </row>
    <row r="1148" customFormat="false" ht="15" hidden="false" customHeight="false" outlineLevel="0" collapsed="false">
      <c r="A1148" s="16" t="n">
        <v>46014</v>
      </c>
      <c r="B1148" s="17" t="s">
        <v>1241</v>
      </c>
      <c r="C1148" s="17" t="s">
        <v>70</v>
      </c>
      <c r="D1148" s="17" t="s">
        <v>92</v>
      </c>
      <c r="E1148" s="17" t="n">
        <v>13</v>
      </c>
      <c r="F1148" s="18" t="n">
        <v>850</v>
      </c>
      <c r="G1148" s="19" t="n">
        <v>0</v>
      </c>
      <c r="H1148" s="18" t="n">
        <v>11050</v>
      </c>
      <c r="I1148" s="20"/>
    </row>
    <row r="1149" customFormat="false" ht="15" hidden="false" customHeight="false" outlineLevel="0" collapsed="false">
      <c r="A1149" s="16" t="n">
        <v>46014</v>
      </c>
      <c r="B1149" s="17" t="s">
        <v>1242</v>
      </c>
      <c r="C1149" s="17" t="s">
        <v>78</v>
      </c>
      <c r="D1149" s="17" t="s">
        <v>98</v>
      </c>
      <c r="E1149" s="17" t="n">
        <v>2</v>
      </c>
      <c r="F1149" s="18" t="n">
        <v>95</v>
      </c>
      <c r="G1149" s="19" t="n">
        <v>0</v>
      </c>
      <c r="H1149" s="18" t="n">
        <v>190</v>
      </c>
      <c r="I1149" s="20"/>
    </row>
    <row r="1150" customFormat="false" ht="15" hidden="false" customHeight="false" outlineLevel="0" collapsed="false">
      <c r="A1150" s="16" t="n">
        <v>46014</v>
      </c>
      <c r="B1150" s="17" t="s">
        <v>1243</v>
      </c>
      <c r="C1150" s="17" t="s">
        <v>73</v>
      </c>
      <c r="D1150" s="17" t="s">
        <v>102</v>
      </c>
      <c r="E1150" s="17" t="n">
        <v>9</v>
      </c>
      <c r="F1150" s="18" t="n">
        <v>1450</v>
      </c>
      <c r="G1150" s="19" t="n">
        <v>0.05</v>
      </c>
      <c r="H1150" s="18" t="n">
        <v>12397.5</v>
      </c>
      <c r="I1150" s="20"/>
    </row>
    <row r="1151" customFormat="false" ht="15" hidden="false" customHeight="false" outlineLevel="0" collapsed="false">
      <c r="A1151" s="16" t="n">
        <v>46014</v>
      </c>
      <c r="B1151" s="17" t="s">
        <v>1244</v>
      </c>
      <c r="C1151" s="17" t="s">
        <v>70</v>
      </c>
      <c r="D1151" s="17" t="s">
        <v>102</v>
      </c>
      <c r="E1151" s="17" t="n">
        <v>3</v>
      </c>
      <c r="F1151" s="18" t="n">
        <v>850</v>
      </c>
      <c r="G1151" s="19" t="n">
        <v>0</v>
      </c>
      <c r="H1151" s="18" t="n">
        <v>2550</v>
      </c>
      <c r="I1151" s="20"/>
    </row>
    <row r="1152" customFormat="false" ht="15" hidden="false" customHeight="false" outlineLevel="0" collapsed="false">
      <c r="A1152" s="16" t="n">
        <v>46014</v>
      </c>
      <c r="B1152" s="17" t="s">
        <v>1245</v>
      </c>
      <c r="C1152" s="17" t="s">
        <v>75</v>
      </c>
      <c r="D1152" s="17" t="s">
        <v>102</v>
      </c>
      <c r="E1152" s="17" t="n">
        <v>5</v>
      </c>
      <c r="F1152" s="18" t="n">
        <v>120</v>
      </c>
      <c r="G1152" s="19" t="n">
        <v>0</v>
      </c>
      <c r="H1152" s="18" t="n">
        <v>600</v>
      </c>
      <c r="I1152" s="20"/>
    </row>
    <row r="1153" customFormat="false" ht="15" hidden="false" customHeight="false" outlineLevel="0" collapsed="false">
      <c r="A1153" s="16" t="n">
        <v>46014</v>
      </c>
      <c r="B1153" s="17" t="s">
        <v>1246</v>
      </c>
      <c r="C1153" s="17" t="s">
        <v>78</v>
      </c>
      <c r="D1153" s="17" t="s">
        <v>102</v>
      </c>
      <c r="E1153" s="17" t="n">
        <v>7</v>
      </c>
      <c r="F1153" s="18" t="n">
        <v>95</v>
      </c>
      <c r="G1153" s="19" t="n">
        <v>0</v>
      </c>
      <c r="H1153" s="18" t="n">
        <v>665</v>
      </c>
      <c r="I1153" s="20"/>
    </row>
    <row r="1154" customFormat="false" ht="15" hidden="false" customHeight="false" outlineLevel="0" collapsed="false">
      <c r="A1154" s="16" t="n">
        <v>46015</v>
      </c>
      <c r="B1154" s="17" t="s">
        <v>1247</v>
      </c>
      <c r="C1154" s="17" t="s">
        <v>81</v>
      </c>
      <c r="D1154" s="17" t="s">
        <v>92</v>
      </c>
      <c r="E1154" s="17" t="n">
        <v>8</v>
      </c>
      <c r="F1154" s="18" t="n">
        <v>60</v>
      </c>
      <c r="G1154" s="19" t="n">
        <v>0</v>
      </c>
      <c r="H1154" s="18" t="n">
        <v>480</v>
      </c>
      <c r="I1154" s="20"/>
    </row>
    <row r="1155" customFormat="false" ht="15" hidden="false" customHeight="false" outlineLevel="0" collapsed="false">
      <c r="A1155" s="16" t="n">
        <v>46015</v>
      </c>
      <c r="B1155" s="17" t="s">
        <v>1248</v>
      </c>
      <c r="C1155" s="17" t="s">
        <v>70</v>
      </c>
      <c r="D1155" s="17" t="s">
        <v>92</v>
      </c>
      <c r="E1155" s="17" t="n">
        <v>13</v>
      </c>
      <c r="F1155" s="18" t="n">
        <v>850</v>
      </c>
      <c r="G1155" s="19" t="n">
        <v>0</v>
      </c>
      <c r="H1155" s="18" t="n">
        <v>11050</v>
      </c>
      <c r="I1155" s="20"/>
    </row>
    <row r="1156" customFormat="false" ht="15" hidden="false" customHeight="false" outlineLevel="0" collapsed="false">
      <c r="A1156" s="16" t="n">
        <v>46015</v>
      </c>
      <c r="B1156" s="17" t="s">
        <v>1249</v>
      </c>
      <c r="C1156" s="17" t="s">
        <v>81</v>
      </c>
      <c r="D1156" s="17" t="s">
        <v>102</v>
      </c>
      <c r="E1156" s="17" t="n">
        <v>8</v>
      </c>
      <c r="F1156" s="18" t="n">
        <v>60</v>
      </c>
      <c r="G1156" s="19" t="n">
        <v>0.1</v>
      </c>
      <c r="H1156" s="18" t="n">
        <v>432</v>
      </c>
      <c r="I1156" s="20"/>
    </row>
    <row r="1157" customFormat="false" ht="15" hidden="false" customHeight="false" outlineLevel="0" collapsed="false">
      <c r="A1157" s="16" t="n">
        <v>46015</v>
      </c>
      <c r="B1157" s="17" t="s">
        <v>1250</v>
      </c>
      <c r="C1157" s="17" t="s">
        <v>81</v>
      </c>
      <c r="D1157" s="17" t="s">
        <v>96</v>
      </c>
      <c r="E1157" s="17" t="n">
        <v>19</v>
      </c>
      <c r="F1157" s="18" t="n">
        <v>60</v>
      </c>
      <c r="G1157" s="19" t="n">
        <v>0</v>
      </c>
      <c r="H1157" s="18" t="n">
        <v>1140</v>
      </c>
      <c r="I1157" s="20"/>
    </row>
    <row r="1158" customFormat="false" ht="15" hidden="false" customHeight="false" outlineLevel="0" collapsed="false">
      <c r="A1158" s="16" t="n">
        <v>46016</v>
      </c>
      <c r="B1158" s="17" t="s">
        <v>1251</v>
      </c>
      <c r="C1158" s="17" t="s">
        <v>81</v>
      </c>
      <c r="D1158" s="17" t="s">
        <v>96</v>
      </c>
      <c r="E1158" s="17" t="n">
        <v>3</v>
      </c>
      <c r="F1158" s="18" t="n">
        <v>60</v>
      </c>
      <c r="G1158" s="19" t="n">
        <v>0</v>
      </c>
      <c r="H1158" s="18" t="n">
        <v>180</v>
      </c>
      <c r="I1158" s="20"/>
    </row>
    <row r="1159" customFormat="false" ht="15" hidden="false" customHeight="false" outlineLevel="0" collapsed="false">
      <c r="A1159" s="16" t="n">
        <v>46016</v>
      </c>
      <c r="B1159" s="17" t="s">
        <v>1252</v>
      </c>
      <c r="C1159" s="17" t="s">
        <v>70</v>
      </c>
      <c r="D1159" s="17" t="s">
        <v>92</v>
      </c>
      <c r="E1159" s="17" t="n">
        <v>7</v>
      </c>
      <c r="F1159" s="18" t="n">
        <v>850</v>
      </c>
      <c r="G1159" s="19" t="n">
        <v>0</v>
      </c>
      <c r="H1159" s="18" t="n">
        <v>5950</v>
      </c>
      <c r="I1159" s="20"/>
    </row>
    <row r="1160" customFormat="false" ht="15" hidden="false" customHeight="false" outlineLevel="0" collapsed="false">
      <c r="A1160" s="16" t="n">
        <v>46016</v>
      </c>
      <c r="B1160" s="17" t="s">
        <v>1253</v>
      </c>
      <c r="C1160" s="17" t="s">
        <v>70</v>
      </c>
      <c r="D1160" s="17" t="s">
        <v>92</v>
      </c>
      <c r="E1160" s="17" t="n">
        <v>14</v>
      </c>
      <c r="F1160" s="18" t="n">
        <v>850</v>
      </c>
      <c r="G1160" s="19" t="n">
        <v>0</v>
      </c>
      <c r="H1160" s="18" t="n">
        <v>11900</v>
      </c>
      <c r="I1160" s="20"/>
    </row>
    <row r="1161" customFormat="false" ht="15" hidden="false" customHeight="false" outlineLevel="0" collapsed="false">
      <c r="A1161" s="16" t="n">
        <v>46017</v>
      </c>
      <c r="B1161" s="17" t="s">
        <v>1254</v>
      </c>
      <c r="C1161" s="17" t="s">
        <v>75</v>
      </c>
      <c r="D1161" s="17" t="s">
        <v>102</v>
      </c>
      <c r="E1161" s="17" t="n">
        <v>2</v>
      </c>
      <c r="F1161" s="18" t="n">
        <v>120</v>
      </c>
      <c r="G1161" s="19" t="n">
        <v>0</v>
      </c>
      <c r="H1161" s="18" t="n">
        <v>240</v>
      </c>
      <c r="I1161" s="20"/>
    </row>
    <row r="1162" customFormat="false" ht="15" hidden="false" customHeight="false" outlineLevel="0" collapsed="false">
      <c r="A1162" s="16" t="n">
        <v>46017</v>
      </c>
      <c r="B1162" s="17" t="s">
        <v>1255</v>
      </c>
      <c r="C1162" s="17" t="s">
        <v>70</v>
      </c>
      <c r="D1162" s="17" t="s">
        <v>92</v>
      </c>
      <c r="E1162" s="17" t="n">
        <v>4</v>
      </c>
      <c r="F1162" s="18" t="n">
        <v>850</v>
      </c>
      <c r="G1162" s="19" t="n">
        <v>0</v>
      </c>
      <c r="H1162" s="18" t="n">
        <v>3400</v>
      </c>
      <c r="I1162" s="20"/>
    </row>
    <row r="1163" customFormat="false" ht="15" hidden="false" customHeight="false" outlineLevel="0" collapsed="false">
      <c r="A1163" s="16" t="n">
        <v>46017</v>
      </c>
      <c r="B1163" s="17" t="s">
        <v>1256</v>
      </c>
      <c r="C1163" s="17" t="s">
        <v>70</v>
      </c>
      <c r="D1163" s="17" t="s">
        <v>92</v>
      </c>
      <c r="E1163" s="17" t="n">
        <v>6</v>
      </c>
      <c r="F1163" s="18" t="n">
        <v>850</v>
      </c>
      <c r="G1163" s="19" t="n">
        <v>0</v>
      </c>
      <c r="H1163" s="18" t="n">
        <v>5100</v>
      </c>
      <c r="I1163" s="20"/>
    </row>
    <row r="1164" customFormat="false" ht="15" hidden="false" customHeight="false" outlineLevel="0" collapsed="false">
      <c r="A1164" s="16" t="n">
        <v>46017</v>
      </c>
      <c r="B1164" s="17" t="s">
        <v>1257</v>
      </c>
      <c r="C1164" s="17" t="s">
        <v>70</v>
      </c>
      <c r="D1164" s="17" t="s">
        <v>92</v>
      </c>
      <c r="E1164" s="17" t="n">
        <v>6</v>
      </c>
      <c r="F1164" s="18" t="n">
        <v>850</v>
      </c>
      <c r="G1164" s="19" t="n">
        <v>0</v>
      </c>
      <c r="H1164" s="18" t="n">
        <v>5100</v>
      </c>
      <c r="I1164" s="20"/>
    </row>
    <row r="1165" customFormat="false" ht="15" hidden="false" customHeight="false" outlineLevel="0" collapsed="false">
      <c r="A1165" s="16" t="n">
        <v>46018</v>
      </c>
      <c r="B1165" s="17" t="s">
        <v>1258</v>
      </c>
      <c r="C1165" s="17" t="s">
        <v>75</v>
      </c>
      <c r="D1165" s="17" t="s">
        <v>98</v>
      </c>
      <c r="E1165" s="17" t="n">
        <v>4</v>
      </c>
      <c r="F1165" s="18" t="n">
        <v>120</v>
      </c>
      <c r="G1165" s="19" t="n">
        <v>0</v>
      </c>
      <c r="H1165" s="18" t="n">
        <v>480</v>
      </c>
      <c r="I1165" s="20"/>
    </row>
    <row r="1166" customFormat="false" ht="15" hidden="false" customHeight="false" outlineLevel="0" collapsed="false">
      <c r="A1166" s="16" t="n">
        <v>46018</v>
      </c>
      <c r="B1166" s="17" t="s">
        <v>1259</v>
      </c>
      <c r="C1166" s="17" t="s">
        <v>70</v>
      </c>
      <c r="D1166" s="17" t="s">
        <v>92</v>
      </c>
      <c r="E1166" s="17" t="n">
        <v>9</v>
      </c>
      <c r="F1166" s="18" t="n">
        <v>850</v>
      </c>
      <c r="G1166" s="19" t="n">
        <v>0</v>
      </c>
      <c r="H1166" s="18" t="n">
        <v>7650</v>
      </c>
      <c r="I1166" s="20"/>
    </row>
    <row r="1167" customFormat="false" ht="15" hidden="false" customHeight="false" outlineLevel="0" collapsed="false">
      <c r="A1167" s="16" t="n">
        <v>46019</v>
      </c>
      <c r="B1167" s="17" t="s">
        <v>1260</v>
      </c>
      <c r="C1167" s="17" t="s">
        <v>75</v>
      </c>
      <c r="D1167" s="17" t="s">
        <v>98</v>
      </c>
      <c r="E1167" s="17" t="n">
        <v>14</v>
      </c>
      <c r="F1167" s="18" t="n">
        <v>120</v>
      </c>
      <c r="G1167" s="19" t="n">
        <v>0.05</v>
      </c>
      <c r="H1167" s="18" t="n">
        <v>1596</v>
      </c>
      <c r="I1167" s="20"/>
    </row>
    <row r="1168" customFormat="false" ht="15" hidden="false" customHeight="false" outlineLevel="0" collapsed="false">
      <c r="A1168" s="16" t="n">
        <v>46019</v>
      </c>
      <c r="B1168" s="17" t="s">
        <v>1261</v>
      </c>
      <c r="C1168" s="17" t="s">
        <v>73</v>
      </c>
      <c r="D1168" s="17" t="s">
        <v>102</v>
      </c>
      <c r="E1168" s="17" t="n">
        <v>11</v>
      </c>
      <c r="F1168" s="18" t="n">
        <v>1450</v>
      </c>
      <c r="G1168" s="19" t="n">
        <v>0</v>
      </c>
      <c r="H1168" s="18" t="n">
        <v>15950</v>
      </c>
      <c r="I1168" s="20"/>
    </row>
    <row r="1169" customFormat="false" ht="15" hidden="false" customHeight="false" outlineLevel="0" collapsed="false">
      <c r="A1169" s="16" t="n">
        <v>46019</v>
      </c>
      <c r="B1169" s="17" t="s">
        <v>1262</v>
      </c>
      <c r="C1169" s="17" t="s">
        <v>78</v>
      </c>
      <c r="D1169" s="17" t="s">
        <v>98</v>
      </c>
      <c r="E1169" s="17" t="n">
        <v>11</v>
      </c>
      <c r="F1169" s="18" t="n">
        <v>95</v>
      </c>
      <c r="G1169" s="19" t="n">
        <v>0</v>
      </c>
      <c r="H1169" s="18" t="n">
        <v>1045</v>
      </c>
      <c r="I116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14" min="5" style="0" width="12"/>
  </cols>
  <sheetData>
    <row r="1" customFormat="false" ht="17.35" hidden="false" customHeight="false" outlineLevel="0" collapsed="false">
      <c r="A1" s="1" t="s">
        <v>1263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1264</v>
      </c>
    </row>
    <row r="3" customFormat="false" ht="45" hidden="false" customHeight="true" outlineLevel="0" collapsed="false">
      <c r="A3" s="21" t="s">
        <v>1265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customFormat="false" ht="15" hidden="false" customHeight="false" outlineLevel="0" collapsed="false">
      <c r="A5" s="14" t="s">
        <v>1266</v>
      </c>
      <c r="B5" s="22" t="n">
        <v>45658</v>
      </c>
      <c r="C5" s="22" t="n">
        <v>45689</v>
      </c>
      <c r="D5" s="22" t="n">
        <v>45717</v>
      </c>
      <c r="E5" s="22" t="n">
        <v>45748</v>
      </c>
      <c r="F5" s="22" t="n">
        <v>45778</v>
      </c>
      <c r="G5" s="22" t="n">
        <v>45809</v>
      </c>
      <c r="H5" s="22" t="n">
        <v>45839</v>
      </c>
      <c r="I5" s="22" t="n">
        <v>45870</v>
      </c>
      <c r="J5" s="22" t="n">
        <v>45901</v>
      </c>
      <c r="K5" s="22" t="n">
        <v>45931</v>
      </c>
      <c r="L5" s="22" t="n">
        <v>45962</v>
      </c>
      <c r="M5" s="22" t="n">
        <v>45992</v>
      </c>
      <c r="N5" s="14" t="s">
        <v>1267</v>
      </c>
    </row>
    <row r="6" customFormat="false" ht="15" hidden="false" customHeight="false" outlineLevel="0" collapsed="false">
      <c r="A6" s="8" t="s">
        <v>70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customFormat="false" ht="15" hidden="false" customHeight="false" outlineLevel="0" collapsed="false">
      <c r="A7" s="8" t="s">
        <v>73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5" hidden="false" customHeight="false" outlineLevel="0" collapsed="false">
      <c r="A8" s="8" t="s">
        <v>75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5" hidden="false" customHeight="false" outlineLevel="0" collapsed="false">
      <c r="A9" s="8" t="s">
        <v>78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customFormat="false" ht="15" hidden="false" customHeight="false" outlineLevel="0" collapsed="false">
      <c r="A10" s="8" t="s">
        <v>81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customFormat="false" ht="15" hidden="false" customHeight="false" outlineLevel="0" collapsed="false">
      <c r="A11" s="12" t="s">
        <v>1267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3" customFormat="false" ht="15" hidden="false" customHeight="false" outlineLevel="0" collapsed="false">
      <c r="A13" s="4" t="s">
        <v>1268</v>
      </c>
    </row>
    <row r="14" customFormat="false" ht="15" hidden="false" customHeight="false" outlineLevel="0" collapsed="false">
      <c r="A14" s="14" t="s">
        <v>1269</v>
      </c>
      <c r="B14" s="14" t="s">
        <v>1270</v>
      </c>
      <c r="C14" s="14" t="s">
        <v>1271</v>
      </c>
      <c r="D14" s="14" t="s">
        <v>1272</v>
      </c>
    </row>
    <row r="15" customFormat="false" ht="15" hidden="false" customHeight="false" outlineLevel="0" collapsed="false">
      <c r="A15" s="5" t="s">
        <v>1273</v>
      </c>
      <c r="B15" s="25" t="n">
        <f aca="false">N11</f>
        <v>0</v>
      </c>
      <c r="C15" s="26" t="n">
        <v>5961678</v>
      </c>
      <c r="D15" s="12" t="str">
        <f aca="false">IF(ISBLANK(N11),"-",IF(ABS(N11-C15)&lt;0.01,"PASS","Not yet"))</f>
        <v>-</v>
      </c>
    </row>
    <row r="16" customFormat="false" ht="15" hidden="false" customHeight="false" outlineLevel="0" collapsed="false">
      <c r="A16" s="5" t="s">
        <v>1274</v>
      </c>
      <c r="B16" s="25" t="n">
        <f aca="false">B6</f>
        <v>0</v>
      </c>
      <c r="C16" s="26" t="n">
        <v>149685</v>
      </c>
      <c r="D16" s="12" t="str">
        <f aca="false">IF(ISBLANK(B6),"-",IF(ABS(B6-C16)&lt;0.01,"PASS","Not yet"))</f>
        <v>-</v>
      </c>
    </row>
    <row r="17" customFormat="false" ht="15" hidden="false" customHeight="false" outlineLevel="0" collapsed="false">
      <c r="A17" s="5" t="s">
        <v>1275</v>
      </c>
      <c r="B17" s="25" t="n">
        <f aca="false">G8</f>
        <v>0</v>
      </c>
      <c r="C17" s="26" t="n">
        <v>25752</v>
      </c>
      <c r="D17" s="12" t="str">
        <f aca="false">IF(ISBLANK(G8),"-",IF(ABS(G8-C17)&lt;0.01,"PASS","Not yet"))</f>
        <v>-</v>
      </c>
    </row>
    <row r="18" customFormat="false" ht="15" hidden="false" customHeight="false" outlineLevel="0" collapsed="false">
      <c r="A18" s="5" t="s">
        <v>1276</v>
      </c>
      <c r="B18" s="25" t="n">
        <f aca="false">M10</f>
        <v>0</v>
      </c>
      <c r="C18" s="26" t="n">
        <v>13725</v>
      </c>
      <c r="D18" s="12" t="str">
        <f aca="false">IF(ISBLANK(M10),"-",IF(ABS(M10-C18)&lt;0.01,"PASS","Not yet"))</f>
        <v>-</v>
      </c>
    </row>
    <row r="19" customFormat="false" ht="15" hidden="false" customHeight="false" outlineLevel="0" collapsed="false">
      <c r="A19" s="5" t="s">
        <v>1277</v>
      </c>
      <c r="B19" s="25" t="n">
        <f aca="false">N7</f>
        <v>0</v>
      </c>
      <c r="C19" s="26" t="n">
        <v>3296140</v>
      </c>
      <c r="D19" s="12" t="str">
        <f aca="false">IF(ISBLANK(N7),"-",IF(ABS(N7-C19)&lt;0.01,"PASS","Not yet"))</f>
        <v>-</v>
      </c>
    </row>
    <row r="20" customFormat="false" ht="15" hidden="false" customHeight="false" outlineLevel="0" collapsed="false">
      <c r="A20" s="5" t="s">
        <v>1278</v>
      </c>
      <c r="B20" s="25" t="n">
        <f aca="false">J11</f>
        <v>0</v>
      </c>
      <c r="C20" s="26" t="n">
        <v>614869</v>
      </c>
      <c r="D20" s="12" t="str">
        <f aca="false">IF(ISBLANK(J11),"-",IF(ABS(J11-C20)&lt;0.01,"PASS","Not yet"))</f>
        <v>-</v>
      </c>
    </row>
    <row r="21" customFormat="false" ht="15" hidden="false" customHeight="false" outlineLevel="0" collapsed="false">
      <c r="A21" s="5" t="s">
        <v>1279</v>
      </c>
      <c r="B21" s="27" t="n">
        <f aca="false">N11</f>
        <v>0</v>
      </c>
      <c r="C21" s="28" t="n">
        <f aca="false">SUM(Transactions!$H$2:$H$1169)</f>
        <v>5961678</v>
      </c>
      <c r="D21" s="12" t="str">
        <f aca="false">IF(ISBLANK(B21),"-",IF(ABS(B21-C21)&lt;0.01,"PASS","Not yet"))</f>
        <v>Not yet</v>
      </c>
    </row>
    <row r="23" customFormat="false" ht="15" hidden="false" customHeight="false" outlineLevel="0" collapsed="false">
      <c r="A23" s="3" t="s">
        <v>1280</v>
      </c>
    </row>
    <row r="24" customFormat="false" ht="15" hidden="false" customHeight="false" outlineLevel="0" collapsed="false">
      <c r="A24" s="3" t="s">
        <v>1281</v>
      </c>
    </row>
  </sheetData>
  <mergeCells count="1">
    <mergeCell ref="A3:N3"/>
  </mergeCells>
  <conditionalFormatting sqref="D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"Not yet"</formula>
    </cfRule>
  </conditionalFormatting>
  <conditionalFormatting sqref="D16">
    <cfRule type="cellIs" priority="4" operator="equal" aboveAverage="0" equalAverage="0" bottom="0" percent="0" rank="0" text="" dxfId="4">
      <formula>"PASS"</formula>
    </cfRule>
    <cfRule type="cellIs" priority="5" operator="equal" aboveAverage="0" equalAverage="0" bottom="0" percent="0" rank="0" text="" dxfId="5">
      <formula>"Not yet"</formula>
    </cfRule>
  </conditionalFormatting>
  <conditionalFormatting sqref="D17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"Not yet"</formula>
    </cfRule>
  </conditionalFormatting>
  <conditionalFormatting sqref="D18">
    <cfRule type="cellIs" priority="8" operator="equal" aboveAverage="0" equalAverage="0" bottom="0" percent="0" rank="0" text="" dxfId="4">
      <formula>"PASS"</formula>
    </cfRule>
    <cfRule type="cellIs" priority="9" operator="equal" aboveAverage="0" equalAverage="0" bottom="0" percent="0" rank="0" text="" dxfId="5">
      <formula>"Not yet"</formula>
    </cfRule>
  </conditionalFormatting>
  <conditionalFormatting sqref="D19">
    <cfRule type="cellIs" priority="10" operator="equal" aboveAverage="0" equalAverage="0" bottom="0" percent="0" rank="0" text="" dxfId="4">
      <formula>"PASS"</formula>
    </cfRule>
    <cfRule type="cellIs" priority="11" operator="equal" aboveAverage="0" equalAverage="0" bottom="0" percent="0" rank="0" text="" dxfId="5">
      <formula>"Not yet"</formula>
    </cfRule>
  </conditionalFormatting>
  <conditionalFormatting sqref="D20">
    <cfRule type="cellIs" priority="12" operator="equal" aboveAverage="0" equalAverage="0" bottom="0" percent="0" rank="0" text="" dxfId="4">
      <formula>"PASS"</formula>
    </cfRule>
    <cfRule type="cellIs" priority="13" operator="equal" aboveAverage="0" equalAverage="0" bottom="0" percent="0" rank="0" text="" dxfId="5">
      <formula>"Not yet"</formula>
    </cfRule>
  </conditionalFormatting>
  <conditionalFormatting sqref="D21">
    <cfRule type="cellIs" priority="14" operator="equal" aboveAverage="0" equalAverage="0" bottom="0" percent="0" rank="0" text="" dxfId="4">
      <formula>"PASS"</formula>
    </cfRule>
    <cfRule type="cellIs" priority="15" operator="equal" aboveAverage="0" equalAverage="0" bottom="0" percent="0" rank="0" text="" dxfId="5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1282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1283</v>
      </c>
    </row>
    <row r="4" customFormat="false" ht="15" hidden="false" customHeight="false" outlineLevel="0" collapsed="false">
      <c r="A4" s="4" t="s">
        <v>1284</v>
      </c>
    </row>
    <row r="5" customFormat="false" ht="42" hidden="false" customHeight="true" outlineLevel="0" collapsed="false">
      <c r="A5" s="21" t="s">
        <v>1285</v>
      </c>
      <c r="B5" s="21"/>
      <c r="C5" s="21"/>
      <c r="D5" s="21"/>
      <c r="E5" s="21"/>
      <c r="F5" s="21"/>
      <c r="G5" s="21"/>
      <c r="H5" s="21"/>
    </row>
    <row r="7" customFormat="false" ht="15" hidden="false" customHeight="false" outlineLevel="0" collapsed="false">
      <c r="A7" s="14" t="s">
        <v>68</v>
      </c>
      <c r="B7" s="14" t="s">
        <v>1286</v>
      </c>
      <c r="C7" s="14" t="s">
        <v>1287</v>
      </c>
      <c r="D7" s="14" t="s">
        <v>1272</v>
      </c>
      <c r="E7" s="14" t="s">
        <v>1288</v>
      </c>
      <c r="F7" s="14" t="s">
        <v>1287</v>
      </c>
      <c r="G7" s="14" t="s">
        <v>1272</v>
      </c>
    </row>
    <row r="8" customFormat="false" ht="15" hidden="false" customHeight="false" outlineLevel="0" collapsed="false">
      <c r="A8" s="17" t="s">
        <v>72</v>
      </c>
      <c r="B8" s="29" t="n">
        <f aca="false">COUNTIF(Transactions!$I$2:$I$1169,A8)</f>
        <v>0</v>
      </c>
      <c r="C8" s="30" t="n">
        <v>455</v>
      </c>
      <c r="D8" s="12" t="str">
        <f aca="false">IF(B8=0,"-",IF(B8=C8,"PASS","Not yet"))</f>
        <v>-</v>
      </c>
      <c r="E8" s="31"/>
      <c r="F8" s="26" t="n">
        <v>5325812.5</v>
      </c>
      <c r="G8" s="12" t="str">
        <f aca="false">IF(ISBLANK(E8),"-",IF(ABS(E8-F8)&lt;0.01,"PASS","Not yet"))</f>
        <v>-</v>
      </c>
    </row>
    <row r="9" customFormat="false" ht="15" hidden="false" customHeight="false" outlineLevel="0" collapsed="false">
      <c r="A9" s="17" t="s">
        <v>77</v>
      </c>
      <c r="B9" s="29" t="n">
        <f aca="false">COUNTIF(Transactions!$I$2:$I$1169,A9)</f>
        <v>0</v>
      </c>
      <c r="C9" s="30" t="n">
        <v>480</v>
      </c>
      <c r="D9" s="12" t="str">
        <f aca="false">IF(B9=0,"-",IF(B9=C9,"PASS","Not yet"))</f>
        <v>-</v>
      </c>
      <c r="E9" s="31"/>
      <c r="F9" s="26" t="n">
        <v>415095</v>
      </c>
      <c r="G9" s="12" t="str">
        <f aca="false">IF(ISBLANK(E9),"-",IF(ABS(E9-F9)&lt;0.01,"PASS","Not yet"))</f>
        <v>-</v>
      </c>
    </row>
    <row r="10" customFormat="false" ht="15" hidden="false" customHeight="false" outlineLevel="0" collapsed="false">
      <c r="A10" s="17" t="s">
        <v>80</v>
      </c>
      <c r="B10" s="29" t="n">
        <f aca="false">COUNTIF(Transactions!$I$2:$I$1169,A10)</f>
        <v>0</v>
      </c>
      <c r="C10" s="30" t="n">
        <v>233</v>
      </c>
      <c r="D10" s="12" t="str">
        <f aca="false">IF(B10=0,"-",IF(B10=C10,"PASS","Not yet"))</f>
        <v>-</v>
      </c>
      <c r="E10" s="31"/>
      <c r="F10" s="26" t="n">
        <v>220770.5</v>
      </c>
      <c r="G10" s="12" t="str">
        <f aca="false">IF(ISBLANK(E10),"-",IF(ABS(E10-F10)&lt;0.01,"PASS","Not yet"))</f>
        <v>-</v>
      </c>
    </row>
    <row r="11" customFormat="false" ht="15" hidden="false" customHeight="false" outlineLevel="0" collapsed="false">
      <c r="A11" s="3" t="s">
        <v>1289</v>
      </c>
    </row>
    <row r="13" customFormat="false" ht="15" hidden="false" customHeight="false" outlineLevel="0" collapsed="false">
      <c r="A13" s="4" t="s">
        <v>1290</v>
      </c>
    </row>
    <row r="14" customFormat="false" ht="30" hidden="false" customHeight="true" outlineLevel="0" collapsed="false">
      <c r="A14" s="21" t="s">
        <v>1291</v>
      </c>
      <c r="B14" s="21"/>
      <c r="C14" s="21"/>
      <c r="D14" s="21"/>
      <c r="E14" s="21"/>
      <c r="F14" s="21"/>
      <c r="G14" s="21"/>
      <c r="H14" s="21"/>
    </row>
    <row r="15" customFormat="false" ht="15" hidden="false" customHeight="false" outlineLevel="0" collapsed="false">
      <c r="A15" s="14" t="s">
        <v>1292</v>
      </c>
      <c r="B15" s="14" t="s">
        <v>67</v>
      </c>
      <c r="F15" s="12" t="s">
        <v>1293</v>
      </c>
    </row>
    <row r="16" customFormat="false" ht="15" hidden="false" customHeight="false" outlineLevel="0" collapsed="false">
      <c r="A16" s="17" t="s">
        <v>75</v>
      </c>
      <c r="B16" s="20"/>
      <c r="F16" s="20"/>
    </row>
    <row r="17" customFormat="false" ht="15" hidden="false" customHeight="false" outlineLevel="0" collapsed="false">
      <c r="A17" s="17" t="s">
        <v>70</v>
      </c>
      <c r="B17" s="20"/>
    </row>
    <row r="18" customFormat="false" ht="15" hidden="false" customHeight="false" outlineLevel="0" collapsed="false">
      <c r="A18" s="17" t="s">
        <v>1294</v>
      </c>
      <c r="B18" s="20"/>
    </row>
    <row r="19" customFormat="false" ht="15" hidden="false" customHeight="false" outlineLevel="0" collapsed="false">
      <c r="A19" s="17" t="s">
        <v>81</v>
      </c>
      <c r="B19" s="20"/>
    </row>
    <row r="20" customFormat="false" ht="15" hidden="false" customHeight="false" outlineLevel="0" collapsed="false">
      <c r="A20" s="17" t="s">
        <v>1295</v>
      </c>
      <c r="B20" s="20"/>
    </row>
    <row r="21" customFormat="false" ht="15" hidden="false" customHeight="false" outlineLevel="0" collapsed="false">
      <c r="A21" s="17" t="s">
        <v>78</v>
      </c>
      <c r="B21" s="20"/>
    </row>
    <row r="22" customFormat="false" ht="15" hidden="false" customHeight="false" outlineLevel="0" collapsed="false">
      <c r="A22" s="17" t="s">
        <v>73</v>
      </c>
      <c r="B22" s="20"/>
    </row>
    <row r="23" customFormat="false" ht="15" hidden="false" customHeight="false" outlineLevel="0" collapsed="false">
      <c r="A23" s="17" t="s">
        <v>1296</v>
      </c>
      <c r="B23" s="20"/>
    </row>
    <row r="25" customFormat="false" ht="15" hidden="false" customHeight="false" outlineLevel="0" collapsed="false">
      <c r="A25" s="14" t="s">
        <v>1269</v>
      </c>
      <c r="B25" s="14" t="s">
        <v>1297</v>
      </c>
      <c r="C25" s="14" t="s">
        <v>1287</v>
      </c>
      <c r="D25" s="14" t="s">
        <v>1272</v>
      </c>
    </row>
    <row r="26" customFormat="false" ht="15" hidden="false" customHeight="false" outlineLevel="0" collapsed="false">
      <c r="A26" s="0" t="s">
        <v>1298</v>
      </c>
      <c r="B26" s="0" t="n">
        <f aca="false">COUNTIF(B16:B23,"Check: not found")</f>
        <v>0</v>
      </c>
      <c r="C26" s="32" t="n">
        <v>3</v>
      </c>
      <c r="D26" s="12" t="str">
        <f aca="false">IF(COUNTA(B16:B23)=0,"-",IF(B26=C26,"PASS","Not yet"))</f>
        <v>-</v>
      </c>
    </row>
    <row r="27" customFormat="false" ht="15" hidden="false" customHeight="false" outlineLevel="0" collapsed="false">
      <c r="A27" s="3" t="s">
        <v>1299</v>
      </c>
    </row>
    <row r="29" customFormat="false" ht="15" hidden="false" customHeight="false" outlineLevel="0" collapsed="false">
      <c r="A29" s="4" t="s">
        <v>1300</v>
      </c>
    </row>
    <row r="30" customFormat="false" ht="42" hidden="false" customHeight="true" outlineLevel="0" collapsed="false">
      <c r="A30" s="21" t="s">
        <v>1301</v>
      </c>
      <c r="B30" s="21"/>
      <c r="C30" s="21"/>
      <c r="D30" s="21"/>
      <c r="E30" s="21"/>
      <c r="F30" s="21"/>
      <c r="G30" s="21"/>
      <c r="H30" s="21"/>
    </row>
    <row r="31" customFormat="false" ht="15" hidden="false" customHeight="false" outlineLevel="0" collapsed="false">
      <c r="B31" s="12" t="s">
        <v>89</v>
      </c>
      <c r="C31" s="33" t="n">
        <v>0.05</v>
      </c>
    </row>
    <row r="32" customFormat="false" ht="15" hidden="false" customHeight="false" outlineLevel="0" collapsed="false">
      <c r="B32" s="34" t="s">
        <v>1302</v>
      </c>
      <c r="C32" s="35" t="n">
        <v>50</v>
      </c>
      <c r="D32" s="35" t="n">
        <v>100</v>
      </c>
      <c r="E32" s="35" t="n">
        <v>150</v>
      </c>
      <c r="F32" s="35" t="n">
        <v>200</v>
      </c>
      <c r="G32" s="35" t="n">
        <v>250</v>
      </c>
      <c r="H32" s="35" t="n">
        <v>300</v>
      </c>
    </row>
    <row r="33" customFormat="false" ht="15" hidden="false" customHeight="false" outlineLevel="0" collapsed="false">
      <c r="B33" s="18" t="n">
        <v>60</v>
      </c>
      <c r="C33" s="36"/>
      <c r="D33" s="36"/>
      <c r="E33" s="36"/>
      <c r="F33" s="36"/>
      <c r="G33" s="36"/>
      <c r="H33" s="36"/>
    </row>
    <row r="34" customFormat="false" ht="15" hidden="false" customHeight="false" outlineLevel="0" collapsed="false">
      <c r="B34" s="18" t="n">
        <v>95</v>
      </c>
      <c r="C34" s="36"/>
      <c r="D34" s="36"/>
      <c r="E34" s="36"/>
      <c r="F34" s="36"/>
      <c r="G34" s="36"/>
      <c r="H34" s="36"/>
    </row>
    <row r="35" customFormat="false" ht="15" hidden="false" customHeight="false" outlineLevel="0" collapsed="false">
      <c r="B35" s="18" t="n">
        <v>120</v>
      </c>
      <c r="C35" s="36"/>
      <c r="D35" s="36"/>
      <c r="E35" s="36"/>
      <c r="F35" s="36"/>
      <c r="G35" s="36"/>
      <c r="H35" s="36"/>
    </row>
    <row r="36" customFormat="false" ht="15" hidden="false" customHeight="false" outlineLevel="0" collapsed="false">
      <c r="B36" s="18" t="n">
        <v>850</v>
      </c>
      <c r="C36" s="36"/>
      <c r="D36" s="36"/>
      <c r="E36" s="36"/>
      <c r="F36" s="36"/>
      <c r="G36" s="36"/>
      <c r="H36" s="36"/>
    </row>
    <row r="37" customFormat="false" ht="15" hidden="false" customHeight="false" outlineLevel="0" collapsed="false">
      <c r="B37" s="18" t="n">
        <v>1450</v>
      </c>
      <c r="C37" s="36"/>
      <c r="D37" s="36"/>
      <c r="E37" s="36"/>
      <c r="F37" s="36"/>
      <c r="G37" s="36"/>
      <c r="H37" s="36"/>
    </row>
    <row r="39" customFormat="false" ht="15" hidden="false" customHeight="false" outlineLevel="0" collapsed="false">
      <c r="A39" s="14" t="s">
        <v>1269</v>
      </c>
      <c r="B39" s="14" t="s">
        <v>1297</v>
      </c>
      <c r="C39" s="14" t="s">
        <v>1287</v>
      </c>
      <c r="D39" s="14" t="s">
        <v>1272</v>
      </c>
    </row>
    <row r="40" customFormat="false" ht="15" hidden="false" customHeight="false" outlineLevel="0" collapsed="false">
      <c r="A40" s="5" t="s">
        <v>1303</v>
      </c>
      <c r="B40" s="27" t="n">
        <f aca="false">SUM(C33:H37)</f>
        <v>0</v>
      </c>
      <c r="C40" s="26" t="n">
        <v>2568562.5</v>
      </c>
      <c r="D40" s="12" t="str">
        <f aca="false">IF(ISBLANK(B40),"-",IF(ABS(B40-C40)&lt;0.01,"PASS","Not yet"))</f>
        <v>Not yet</v>
      </c>
    </row>
    <row r="41" customFormat="false" ht="15" hidden="false" customHeight="false" outlineLevel="0" collapsed="false">
      <c r="A41" s="5" t="s">
        <v>1304</v>
      </c>
      <c r="B41" s="27" t="n">
        <f aca="false">H37</f>
        <v>0</v>
      </c>
      <c r="C41" s="26" t="n">
        <v>413250</v>
      </c>
      <c r="D41" s="12" t="str">
        <f aca="false">IF(ISBLANK(B41),"-",IF(ABS(B41-C41)&lt;0.01,"PASS","Not yet"))</f>
        <v>Not yet</v>
      </c>
    </row>
    <row r="42" customFormat="false" ht="15" hidden="false" customHeight="false" outlineLevel="0" collapsed="false">
      <c r="A42" s="5" t="s">
        <v>1305</v>
      </c>
      <c r="B42" s="31"/>
      <c r="C42" s="26" t="n">
        <v>2433375</v>
      </c>
      <c r="D42" s="12" t="str">
        <f aca="false">IF(ISBLANK(B42),"-",IF(ABS(B42-C42)&lt;0.01,"PASS","Not yet"))</f>
        <v>-</v>
      </c>
    </row>
    <row r="43" customFormat="false" ht="15" hidden="false" customHeight="false" outlineLevel="0" collapsed="false">
      <c r="A43" s="3" t="s">
        <v>1306</v>
      </c>
    </row>
  </sheetData>
  <mergeCells count="3">
    <mergeCell ref="A5:H5"/>
    <mergeCell ref="A14:H14"/>
    <mergeCell ref="A30:H30"/>
  </mergeCells>
  <conditionalFormatting sqref="D8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"Not yet"</formula>
    </cfRule>
  </conditionalFormatting>
  <conditionalFormatting sqref="G8">
    <cfRule type="cellIs" priority="4" operator="equal" aboveAverage="0" equalAverage="0" bottom="0" percent="0" rank="0" text="" dxfId="4">
      <formula>"PASS"</formula>
    </cfRule>
    <cfRule type="cellIs" priority="5" operator="equal" aboveAverage="0" equalAverage="0" bottom="0" percent="0" rank="0" text="" dxfId="5">
      <formula>"Not yet"</formula>
    </cfRule>
  </conditionalFormatting>
  <conditionalFormatting sqref="D9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"Not yet"</formula>
    </cfRule>
  </conditionalFormatting>
  <conditionalFormatting sqref="G9">
    <cfRule type="cellIs" priority="8" operator="equal" aboveAverage="0" equalAverage="0" bottom="0" percent="0" rank="0" text="" dxfId="4">
      <formula>"PASS"</formula>
    </cfRule>
    <cfRule type="cellIs" priority="9" operator="equal" aboveAverage="0" equalAverage="0" bottom="0" percent="0" rank="0" text="" dxfId="5">
      <formula>"Not yet"</formula>
    </cfRule>
  </conditionalFormatting>
  <conditionalFormatting sqref="D10">
    <cfRule type="cellIs" priority="10" operator="equal" aboveAverage="0" equalAverage="0" bottom="0" percent="0" rank="0" text="" dxfId="4">
      <formula>"PASS"</formula>
    </cfRule>
    <cfRule type="cellIs" priority="11" operator="equal" aboveAverage="0" equalAverage="0" bottom="0" percent="0" rank="0" text="" dxfId="5">
      <formula>"Not yet"</formula>
    </cfRule>
  </conditionalFormatting>
  <conditionalFormatting sqref="G10">
    <cfRule type="cellIs" priority="12" operator="equal" aboveAverage="0" equalAverage="0" bottom="0" percent="0" rank="0" text="" dxfId="4">
      <formula>"PASS"</formula>
    </cfRule>
    <cfRule type="cellIs" priority="13" operator="equal" aboveAverage="0" equalAverage="0" bottom="0" percent="0" rank="0" text="" dxfId="5">
      <formula>"Not yet"</formula>
    </cfRule>
  </conditionalFormatting>
  <conditionalFormatting sqref="D26">
    <cfRule type="cellIs" priority="14" operator="equal" aboveAverage="0" equalAverage="0" bottom="0" percent="0" rank="0" text="" dxfId="4">
      <formula>"PASS"</formula>
    </cfRule>
    <cfRule type="cellIs" priority="15" operator="equal" aboveAverage="0" equalAverage="0" bottom="0" percent="0" rank="0" text="" dxfId="5">
      <formula>"Not yet"</formula>
    </cfRule>
  </conditionalFormatting>
  <conditionalFormatting sqref="G26">
    <cfRule type="cellIs" priority="16" operator="equal" aboveAverage="0" equalAverage="0" bottom="0" percent="0" rank="0" text="" dxfId="4">
      <formula>"PASS"</formula>
    </cfRule>
    <cfRule type="cellIs" priority="17" operator="equal" aboveAverage="0" equalAverage="0" bottom="0" percent="0" rank="0" text="" dxfId="5">
      <formula>"Not yet"</formula>
    </cfRule>
  </conditionalFormatting>
  <conditionalFormatting sqref="D40">
    <cfRule type="cellIs" priority="18" operator="equal" aboveAverage="0" equalAverage="0" bottom="0" percent="0" rank="0" text="" dxfId="4">
      <formula>"PASS"</formula>
    </cfRule>
    <cfRule type="cellIs" priority="19" operator="equal" aboveAverage="0" equalAverage="0" bottom="0" percent="0" rank="0" text="" dxfId="5">
      <formula>"Not yet"</formula>
    </cfRule>
  </conditionalFormatting>
  <conditionalFormatting sqref="G40">
    <cfRule type="cellIs" priority="20" operator="equal" aboveAverage="0" equalAverage="0" bottom="0" percent="0" rank="0" text="" dxfId="4">
      <formula>"PASS"</formula>
    </cfRule>
    <cfRule type="cellIs" priority="21" operator="equal" aboveAverage="0" equalAverage="0" bottom="0" percent="0" rank="0" text="" dxfId="5">
      <formula>"Not yet"</formula>
    </cfRule>
  </conditionalFormatting>
  <conditionalFormatting sqref="D41">
    <cfRule type="cellIs" priority="22" operator="equal" aboveAverage="0" equalAverage="0" bottom="0" percent="0" rank="0" text="" dxfId="4">
      <formula>"PASS"</formula>
    </cfRule>
    <cfRule type="cellIs" priority="23" operator="equal" aboveAverage="0" equalAverage="0" bottom="0" percent="0" rank="0" text="" dxfId="5">
      <formula>"Not yet"</formula>
    </cfRule>
  </conditionalFormatting>
  <conditionalFormatting sqref="G41">
    <cfRule type="cellIs" priority="24" operator="equal" aboveAverage="0" equalAverage="0" bottom="0" percent="0" rank="0" text="" dxfId="4">
      <formula>"PASS"</formula>
    </cfRule>
    <cfRule type="cellIs" priority="25" operator="equal" aboveAverage="0" equalAverage="0" bottom="0" percent="0" rank="0" text="" dxfId="5">
      <formula>"Not yet"</formula>
    </cfRule>
  </conditionalFormatting>
  <conditionalFormatting sqref="D42">
    <cfRule type="cellIs" priority="26" operator="equal" aboveAverage="0" equalAverage="0" bottom="0" percent="0" rank="0" text="" dxfId="4">
      <formula>"PASS"</formula>
    </cfRule>
    <cfRule type="cellIs" priority="27" operator="equal" aboveAverage="0" equalAverage="0" bottom="0" percent="0" rank="0" text="" dxfId="5">
      <formula>"Not yet"</formula>
    </cfRule>
  </conditionalFormatting>
  <conditionalFormatting sqref="G42">
    <cfRule type="cellIs" priority="28" operator="equal" aboveAverage="0" equalAverage="0" bottom="0" percent="0" rank="0" text="" dxfId="4">
      <formula>"PASS"</formula>
    </cfRule>
    <cfRule type="cellIs" priority="29" operator="equal" aboveAverage="0" equalAverage="0" bottom="0" percent="0" rank="0" text="" dxfId="5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5" t="s">
        <v>1307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 t="s">
        <v>1308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5" t="s">
        <v>1309</v>
      </c>
      <c r="B4" s="5" t="s">
        <v>1310</v>
      </c>
      <c r="C4" s="5" t="s">
        <v>1311</v>
      </c>
      <c r="D4" s="5" t="s">
        <v>1312</v>
      </c>
      <c r="E4" s="5" t="s">
        <v>1313</v>
      </c>
      <c r="F4" s="5" t="s">
        <v>1314</v>
      </c>
      <c r="G4" s="5" t="s">
        <v>1315</v>
      </c>
      <c r="H4" s="5" t="s">
        <v>90</v>
      </c>
    </row>
    <row r="5" customFormat="false" ht="15" hidden="false" customHeight="false" outlineLevel="0" collapsed="false">
      <c r="A5" s="5" t="s">
        <v>1316</v>
      </c>
      <c r="B5" s="5" t="s">
        <v>1317</v>
      </c>
      <c r="C5" s="5" t="n">
        <v>123</v>
      </c>
      <c r="D5" s="5" t="s">
        <v>1318</v>
      </c>
      <c r="E5" s="5" t="s">
        <v>1319</v>
      </c>
      <c r="F5" s="5" t="s">
        <v>1320</v>
      </c>
      <c r="G5" s="5" t="s">
        <v>1321</v>
      </c>
      <c r="H5" s="5" t="n">
        <v>1643.99</v>
      </c>
    </row>
    <row r="6" customFormat="false" ht="15" hidden="false" customHeight="false" outlineLevel="0" collapsed="false">
      <c r="A6" s="5" t="s">
        <v>1322</v>
      </c>
      <c r="B6" s="5" t="s">
        <v>1323</v>
      </c>
      <c r="C6" s="5" t="s">
        <v>1324</v>
      </c>
      <c r="D6" s="5" t="s">
        <v>1325</v>
      </c>
      <c r="E6" s="5" t="s">
        <v>1326</v>
      </c>
      <c r="F6" s="5" t="s">
        <v>1327</v>
      </c>
      <c r="G6" s="5" t="s">
        <v>1328</v>
      </c>
      <c r="H6" s="5" t="s">
        <v>1329</v>
      </c>
    </row>
    <row r="7" customFormat="false" ht="15" hidden="false" customHeight="false" outlineLevel="0" collapsed="false">
      <c r="A7" s="5" t="s">
        <v>1330</v>
      </c>
      <c r="B7" s="5" t="s">
        <v>1331</v>
      </c>
      <c r="C7" s="5" t="s">
        <v>1332</v>
      </c>
      <c r="D7" s="5" t="s">
        <v>1333</v>
      </c>
      <c r="E7" s="5" t="s">
        <v>1334</v>
      </c>
      <c r="F7" s="5" t="s">
        <v>1335</v>
      </c>
      <c r="G7" s="5" t="s">
        <v>1336</v>
      </c>
      <c r="H7" s="5" t="s">
        <v>1337</v>
      </c>
    </row>
    <row r="8" customFormat="false" ht="15" hidden="false" customHeight="false" outlineLevel="0" collapsed="false">
      <c r="A8" s="37" t="n">
        <v>45659</v>
      </c>
      <c r="B8" s="5" t="s">
        <v>1338</v>
      </c>
      <c r="C8" s="5" t="s">
        <v>1339</v>
      </c>
      <c r="D8" s="5" t="s">
        <v>1340</v>
      </c>
      <c r="E8" s="5" t="s">
        <v>1326</v>
      </c>
      <c r="F8" s="5" t="s">
        <v>1341</v>
      </c>
      <c r="G8" s="5" t="s">
        <v>1342</v>
      </c>
      <c r="H8" s="5" t="s">
        <v>1343</v>
      </c>
    </row>
    <row r="9" customFormat="false" ht="15" hidden="false" customHeight="false" outlineLevel="0" collapsed="false">
      <c r="A9" s="5" t="s">
        <v>1344</v>
      </c>
      <c r="B9" s="5" t="s">
        <v>1345</v>
      </c>
      <c r="C9" s="5" t="s">
        <v>1332</v>
      </c>
      <c r="D9" s="5" t="s">
        <v>1333</v>
      </c>
      <c r="E9" s="5" t="s">
        <v>1346</v>
      </c>
      <c r="F9" s="5" t="s">
        <v>1327</v>
      </c>
      <c r="G9" s="5" t="s">
        <v>1328</v>
      </c>
      <c r="H9" s="5" t="s">
        <v>1347</v>
      </c>
    </row>
    <row r="10" customFormat="false" ht="15" hidden="false" customHeight="false" outlineLevel="0" collapsed="false">
      <c r="A10" s="5" t="s">
        <v>1348</v>
      </c>
      <c r="B10" s="5" t="s">
        <v>1349</v>
      </c>
      <c r="C10" s="5" t="s">
        <v>1324</v>
      </c>
      <c r="D10" s="5" t="s">
        <v>1325</v>
      </c>
      <c r="E10" s="5" t="s">
        <v>1350</v>
      </c>
      <c r="F10" s="5" t="s">
        <v>1351</v>
      </c>
      <c r="G10" s="5" t="s">
        <v>1352</v>
      </c>
      <c r="H10" s="5" t="s">
        <v>1353</v>
      </c>
    </row>
    <row r="11" customFormat="false" ht="15" hidden="false" customHeight="false" outlineLevel="0" collapsed="false">
      <c r="A11" s="5" t="s">
        <v>1354</v>
      </c>
      <c r="B11" s="5" t="s">
        <v>1355</v>
      </c>
      <c r="C11" s="5" t="s">
        <v>1356</v>
      </c>
      <c r="D11" s="5" t="s">
        <v>1357</v>
      </c>
      <c r="E11" s="5" t="s">
        <v>1326</v>
      </c>
      <c r="F11" s="5" t="s">
        <v>1327</v>
      </c>
      <c r="G11" s="5" t="s">
        <v>1328</v>
      </c>
      <c r="H11" s="5" t="n">
        <v>923.58</v>
      </c>
    </row>
    <row r="12" customFormat="false" ht="15" hidden="false" customHeight="false" outlineLevel="0" collapsed="false">
      <c r="A12" s="5" t="s">
        <v>1358</v>
      </c>
      <c r="B12" s="5" t="s">
        <v>1359</v>
      </c>
      <c r="C12" s="5" t="n">
        <v>123</v>
      </c>
      <c r="D12" s="5" t="s">
        <v>1360</v>
      </c>
      <c r="E12" s="5" t="s">
        <v>1346</v>
      </c>
      <c r="F12" s="5" t="s">
        <v>1327</v>
      </c>
      <c r="G12" s="5" t="s">
        <v>1328</v>
      </c>
      <c r="H12" s="5" t="s">
        <v>1361</v>
      </c>
    </row>
    <row r="13" customFormat="false" ht="15" hidden="false" customHeight="false" outlineLevel="0" collapsed="false">
      <c r="A13" s="37" t="n">
        <v>45661</v>
      </c>
      <c r="B13" s="5" t="s">
        <v>1362</v>
      </c>
      <c r="C13" s="5" t="s">
        <v>1332</v>
      </c>
      <c r="D13" s="5" t="s">
        <v>1333</v>
      </c>
      <c r="E13" s="5" t="s">
        <v>1363</v>
      </c>
      <c r="F13" s="5" t="s">
        <v>1341</v>
      </c>
      <c r="G13" s="5" t="s">
        <v>1342</v>
      </c>
      <c r="H13" s="5" t="s">
        <v>1364</v>
      </c>
    </row>
    <row r="14" customFormat="false" ht="15" hidden="false" customHeight="false" outlineLevel="0" collapsed="false">
      <c r="A14" s="5" t="s">
        <v>1365</v>
      </c>
      <c r="B14" s="5" t="s">
        <v>1366</v>
      </c>
      <c r="C14" s="5" t="s">
        <v>1332</v>
      </c>
      <c r="D14" s="5" t="s">
        <v>1367</v>
      </c>
      <c r="E14" s="5" t="s">
        <v>1346</v>
      </c>
      <c r="F14" s="5" t="s">
        <v>1327</v>
      </c>
      <c r="G14" s="5" t="s">
        <v>1328</v>
      </c>
      <c r="H14" s="5" t="s">
        <v>1368</v>
      </c>
    </row>
    <row r="15" customFormat="false" ht="15" hidden="false" customHeight="false" outlineLevel="0" collapsed="false">
      <c r="A15" s="5" t="s">
        <v>1369</v>
      </c>
      <c r="B15" s="5" t="s">
        <v>1370</v>
      </c>
      <c r="C15" s="5" t="s">
        <v>1371</v>
      </c>
      <c r="D15" s="5" t="s">
        <v>1372</v>
      </c>
      <c r="E15" s="5" t="s">
        <v>1373</v>
      </c>
      <c r="F15" s="5" t="s">
        <v>1374</v>
      </c>
      <c r="G15" s="5" t="s">
        <v>1375</v>
      </c>
      <c r="H15" s="5" t="s">
        <v>1376</v>
      </c>
    </row>
    <row r="16" customFormat="false" ht="15" hidden="false" customHeight="false" outlineLevel="0" collapsed="false">
      <c r="A16" s="5" t="s">
        <v>1377</v>
      </c>
      <c r="B16" s="5" t="s">
        <v>1378</v>
      </c>
      <c r="C16" s="5" t="s">
        <v>1339</v>
      </c>
      <c r="D16" s="5" t="s">
        <v>1379</v>
      </c>
      <c r="E16" s="5" t="s">
        <v>1326</v>
      </c>
      <c r="F16" s="5" t="s">
        <v>1327</v>
      </c>
      <c r="G16" s="5" t="s">
        <v>1328</v>
      </c>
      <c r="H16" s="5" t="s">
        <v>1380</v>
      </c>
    </row>
    <row r="17" customFormat="false" ht="15" hidden="false" customHeight="false" outlineLevel="0" collapsed="false">
      <c r="A17" s="5" t="s">
        <v>1381</v>
      </c>
      <c r="B17" s="5" t="s">
        <v>1382</v>
      </c>
      <c r="C17" s="5" t="s">
        <v>1383</v>
      </c>
      <c r="D17" s="5" t="s">
        <v>1384</v>
      </c>
      <c r="E17" s="5" t="s">
        <v>1373</v>
      </c>
      <c r="F17" s="5" t="s">
        <v>1335</v>
      </c>
      <c r="G17" s="5" t="s">
        <v>1336</v>
      </c>
      <c r="H17" s="5" t="n">
        <v>2403.94</v>
      </c>
    </row>
    <row r="18" customFormat="false" ht="15" hidden="false" customHeight="false" outlineLevel="0" collapsed="false">
      <c r="A18" s="37" t="n">
        <v>45665</v>
      </c>
      <c r="B18" s="5" t="s">
        <v>1385</v>
      </c>
      <c r="C18" s="5" t="s">
        <v>1386</v>
      </c>
      <c r="D18" s="5" t="s">
        <v>1387</v>
      </c>
      <c r="E18" s="5" t="s">
        <v>1388</v>
      </c>
      <c r="F18" s="5" t="s">
        <v>1389</v>
      </c>
      <c r="G18" s="5" t="s">
        <v>1390</v>
      </c>
      <c r="H18" s="5" t="s">
        <v>1391</v>
      </c>
    </row>
    <row r="19" customFormat="false" ht="15" hidden="false" customHeight="false" outlineLevel="0" collapsed="false">
      <c r="A19" s="5" t="s">
        <v>1392</v>
      </c>
      <c r="B19" s="5" t="s">
        <v>1393</v>
      </c>
      <c r="C19" s="5" t="n">
        <v>4040</v>
      </c>
      <c r="D19" s="5" t="s">
        <v>1340</v>
      </c>
      <c r="E19" s="5" t="s">
        <v>1326</v>
      </c>
      <c r="F19" s="5" t="s">
        <v>1327</v>
      </c>
      <c r="G19" s="5" t="s">
        <v>1328</v>
      </c>
      <c r="H19" s="5" t="s">
        <v>1394</v>
      </c>
    </row>
    <row r="20" customFormat="false" ht="15" hidden="false" customHeight="false" outlineLevel="0" collapsed="false">
      <c r="A20" s="5" t="s">
        <v>1395</v>
      </c>
      <c r="B20" s="5" t="s">
        <v>1396</v>
      </c>
      <c r="C20" s="5" t="s">
        <v>1356</v>
      </c>
      <c r="D20" s="5" t="s">
        <v>1357</v>
      </c>
      <c r="E20" s="5" t="s">
        <v>1373</v>
      </c>
      <c r="F20" s="5" t="s">
        <v>1374</v>
      </c>
      <c r="G20" s="5" t="s">
        <v>1375</v>
      </c>
      <c r="H20" s="5" t="s">
        <v>1397</v>
      </c>
    </row>
    <row r="21" customFormat="false" ht="15" hidden="false" customHeight="false" outlineLevel="0" collapsed="false">
      <c r="A21" s="5" t="s">
        <v>1398</v>
      </c>
      <c r="B21" s="5" t="s">
        <v>1399</v>
      </c>
      <c r="C21" s="5" t="s">
        <v>1383</v>
      </c>
      <c r="D21" s="5" t="s">
        <v>1384</v>
      </c>
      <c r="E21" s="5" t="s">
        <v>1400</v>
      </c>
      <c r="F21" s="5" t="s">
        <v>1401</v>
      </c>
      <c r="G21" s="5" t="s">
        <v>1402</v>
      </c>
      <c r="H21" s="5" t="s">
        <v>1403</v>
      </c>
    </row>
    <row r="22" customFormat="false" ht="15" hidden="false" customHeight="false" outlineLevel="0" collapsed="false">
      <c r="A22" s="5" t="s">
        <v>1404</v>
      </c>
      <c r="B22" s="5" t="s">
        <v>1405</v>
      </c>
      <c r="C22" s="5" t="s">
        <v>1406</v>
      </c>
      <c r="D22" s="5" t="s">
        <v>1407</v>
      </c>
      <c r="E22" s="5" t="s">
        <v>1408</v>
      </c>
      <c r="F22" s="5" t="s">
        <v>1409</v>
      </c>
      <c r="G22" s="5" t="s">
        <v>1410</v>
      </c>
      <c r="H22" s="5" t="s">
        <v>1411</v>
      </c>
    </row>
    <row r="23" customFormat="false" ht="15" hidden="false" customHeight="false" outlineLevel="0" collapsed="false">
      <c r="A23" s="37" t="n">
        <v>45667</v>
      </c>
      <c r="B23" s="5" t="s">
        <v>1412</v>
      </c>
      <c r="C23" s="5" t="s">
        <v>1324</v>
      </c>
      <c r="D23" s="5" t="s">
        <v>1413</v>
      </c>
      <c r="E23" s="5" t="s">
        <v>1388</v>
      </c>
      <c r="F23" s="5" t="s">
        <v>1389</v>
      </c>
      <c r="G23" s="5" t="s">
        <v>1390</v>
      </c>
      <c r="H23" s="5" t="n">
        <v>556.79</v>
      </c>
    </row>
    <row r="24" customFormat="false" ht="15" hidden="false" customHeight="false" outlineLevel="0" collapsed="false">
      <c r="A24" s="37" t="n">
        <v>45667</v>
      </c>
      <c r="B24" s="5" t="s">
        <v>1412</v>
      </c>
      <c r="C24" s="5" t="s">
        <v>1324</v>
      </c>
      <c r="D24" s="5" t="s">
        <v>1413</v>
      </c>
      <c r="E24" s="5" t="s">
        <v>1388</v>
      </c>
      <c r="F24" s="5" t="s">
        <v>1389</v>
      </c>
      <c r="G24" s="5" t="s">
        <v>1390</v>
      </c>
      <c r="H24" s="5" t="n">
        <v>556.79</v>
      </c>
    </row>
    <row r="25" customFormat="false" ht="15" hidden="false" customHeight="false" outlineLevel="0" collapsed="false">
      <c r="A25" s="5" t="s">
        <v>1414</v>
      </c>
      <c r="B25" s="5" t="s">
        <v>1415</v>
      </c>
      <c r="C25" s="5" t="s">
        <v>1324</v>
      </c>
      <c r="D25" s="5" t="s">
        <v>1325</v>
      </c>
      <c r="E25" s="5" t="s">
        <v>1416</v>
      </c>
      <c r="F25" s="5" t="s">
        <v>1335</v>
      </c>
      <c r="G25" s="5" t="s">
        <v>1336</v>
      </c>
      <c r="H25" s="5" t="s">
        <v>1417</v>
      </c>
    </row>
    <row r="26" customFormat="false" ht="15" hidden="false" customHeight="false" outlineLevel="0" collapsed="false">
      <c r="A26" s="5" t="s">
        <v>1418</v>
      </c>
      <c r="B26" s="5" t="s">
        <v>1419</v>
      </c>
      <c r="C26" s="5" t="n">
        <v>2020</v>
      </c>
      <c r="D26" s="5" t="s">
        <v>1387</v>
      </c>
      <c r="E26" s="5" t="s">
        <v>1363</v>
      </c>
      <c r="F26" s="5" t="s">
        <v>1341</v>
      </c>
      <c r="G26" s="5" t="s">
        <v>1342</v>
      </c>
      <c r="H26" s="5" t="s">
        <v>1420</v>
      </c>
    </row>
    <row r="27" customFormat="false" ht="15" hidden="false" customHeight="false" outlineLevel="0" collapsed="false">
      <c r="A27" s="5" t="s">
        <v>1421</v>
      </c>
      <c r="B27" s="5" t="s">
        <v>1422</v>
      </c>
      <c r="C27" s="5" t="s">
        <v>1383</v>
      </c>
      <c r="D27" s="5" t="s">
        <v>1423</v>
      </c>
      <c r="E27" s="5" t="s">
        <v>1424</v>
      </c>
      <c r="F27" s="5" t="s">
        <v>1320</v>
      </c>
      <c r="G27" s="5" t="s">
        <v>1321</v>
      </c>
      <c r="H27" s="5" t="s">
        <v>1425</v>
      </c>
    </row>
    <row r="28" customFormat="false" ht="15" hidden="false" customHeight="false" outlineLevel="0" collapsed="false">
      <c r="A28" s="37" t="n">
        <v>45669</v>
      </c>
      <c r="B28" s="5" t="s">
        <v>1426</v>
      </c>
      <c r="C28" s="5" t="s">
        <v>1383</v>
      </c>
      <c r="D28" s="5" t="s">
        <v>1384</v>
      </c>
      <c r="E28" s="5" t="s">
        <v>1427</v>
      </c>
      <c r="F28" s="5" t="s">
        <v>1320</v>
      </c>
      <c r="G28" s="5" t="s">
        <v>1321</v>
      </c>
      <c r="H28" s="5" t="s">
        <v>1428</v>
      </c>
    </row>
    <row r="29" customFormat="false" ht="15" hidden="false" customHeight="false" outlineLevel="0" collapsed="false">
      <c r="A29" s="5" t="s">
        <v>1429</v>
      </c>
      <c r="B29" s="5" t="s">
        <v>1430</v>
      </c>
      <c r="C29" s="5" t="s">
        <v>1332</v>
      </c>
      <c r="D29" s="5" t="s">
        <v>1333</v>
      </c>
      <c r="E29" s="5" t="s">
        <v>1427</v>
      </c>
      <c r="F29" s="5" t="s">
        <v>1431</v>
      </c>
      <c r="G29" s="5" t="s">
        <v>1432</v>
      </c>
      <c r="H29" s="5" t="n">
        <v>329.8</v>
      </c>
    </row>
    <row r="30" customFormat="false" ht="15" hidden="false" customHeight="false" outlineLevel="0" collapsed="false">
      <c r="A30" s="5" t="s">
        <v>1433</v>
      </c>
      <c r="B30" s="5" t="s">
        <v>1434</v>
      </c>
      <c r="C30" s="5" t="s">
        <v>1332</v>
      </c>
      <c r="D30" s="5" t="s">
        <v>1333</v>
      </c>
      <c r="E30" s="5" t="s">
        <v>1319</v>
      </c>
      <c r="F30" s="5" t="s">
        <v>1431</v>
      </c>
      <c r="G30" s="5" t="s">
        <v>1432</v>
      </c>
      <c r="H30" s="5" t="s">
        <v>1435</v>
      </c>
    </row>
    <row r="31" customFormat="false" ht="15" hidden="false" customHeight="false" outlineLevel="0" collapsed="false">
      <c r="A31" s="5" t="s">
        <v>1436</v>
      </c>
      <c r="B31" s="5" t="s">
        <v>1437</v>
      </c>
      <c r="C31" s="5" t="s">
        <v>1339</v>
      </c>
      <c r="D31" s="5" t="s">
        <v>1340</v>
      </c>
      <c r="E31" s="5" t="s">
        <v>1438</v>
      </c>
      <c r="F31" s="5" t="s">
        <v>1401</v>
      </c>
      <c r="G31" s="5" t="s">
        <v>1402</v>
      </c>
      <c r="H31" s="5" t="s">
        <v>1439</v>
      </c>
    </row>
    <row r="32" customFormat="false" ht="15" hidden="false" customHeight="false" outlineLevel="0" collapsed="false">
      <c r="A32" s="5" t="s">
        <v>1440</v>
      </c>
      <c r="B32" s="5" t="s">
        <v>1441</v>
      </c>
      <c r="C32" s="5" t="s">
        <v>1332</v>
      </c>
      <c r="D32" s="5" t="s">
        <v>1367</v>
      </c>
      <c r="E32" s="5" t="s">
        <v>1388</v>
      </c>
      <c r="F32" s="5" t="s">
        <v>1389</v>
      </c>
      <c r="G32" s="5" t="s">
        <v>1390</v>
      </c>
      <c r="H32" s="5" t="s">
        <v>1442</v>
      </c>
    </row>
    <row r="33" customFormat="false" ht="15" hidden="false" customHeight="false" outlineLevel="0" collapsed="false">
      <c r="A33" s="37" t="n">
        <v>45675</v>
      </c>
      <c r="B33" s="5" t="s">
        <v>1443</v>
      </c>
      <c r="C33" s="5" t="n">
        <v>456</v>
      </c>
      <c r="D33" s="5" t="s">
        <v>1333</v>
      </c>
      <c r="E33" s="5" t="s">
        <v>1334</v>
      </c>
      <c r="F33" s="5" t="s">
        <v>1335</v>
      </c>
      <c r="G33" s="5" t="s">
        <v>1336</v>
      </c>
      <c r="H33" s="5" t="s">
        <v>1444</v>
      </c>
    </row>
    <row r="34" customFormat="false" ht="15" hidden="false" customHeight="false" outlineLevel="0" collapsed="false">
      <c r="A34" s="5" t="s">
        <v>1445</v>
      </c>
      <c r="B34" s="5" t="s">
        <v>1446</v>
      </c>
      <c r="C34" s="5" t="s">
        <v>1324</v>
      </c>
      <c r="D34" s="5" t="s">
        <v>1325</v>
      </c>
      <c r="E34" s="5" t="s">
        <v>1319</v>
      </c>
      <c r="F34" s="5" t="s">
        <v>1431</v>
      </c>
      <c r="G34" s="5" t="s">
        <v>1432</v>
      </c>
      <c r="H34" s="5" t="s">
        <v>1447</v>
      </c>
    </row>
    <row r="35" customFormat="false" ht="15" hidden="false" customHeight="false" outlineLevel="0" collapsed="false">
      <c r="A35" s="5" t="s">
        <v>1448</v>
      </c>
      <c r="B35" s="5" t="s">
        <v>1449</v>
      </c>
      <c r="C35" s="5" t="s">
        <v>1371</v>
      </c>
      <c r="D35" s="5" t="s">
        <v>1372</v>
      </c>
      <c r="E35" s="5" t="s">
        <v>1450</v>
      </c>
      <c r="F35" s="5" t="s">
        <v>1401</v>
      </c>
      <c r="G35" s="5" t="s">
        <v>1402</v>
      </c>
      <c r="H35" s="5" t="n">
        <v>3836.65</v>
      </c>
    </row>
    <row r="36" customFormat="false" ht="15" hidden="false" customHeight="false" outlineLevel="0" collapsed="false">
      <c r="A36" s="5" t="s">
        <v>1451</v>
      </c>
      <c r="B36" s="5" t="s">
        <v>1452</v>
      </c>
      <c r="C36" s="5" t="s">
        <v>1453</v>
      </c>
      <c r="D36" s="5" t="s">
        <v>1360</v>
      </c>
      <c r="E36" s="5" t="s">
        <v>1350</v>
      </c>
      <c r="F36" s="5" t="s">
        <v>1409</v>
      </c>
      <c r="G36" s="5" t="s">
        <v>1410</v>
      </c>
      <c r="H36" s="5" t="s">
        <v>1454</v>
      </c>
    </row>
    <row r="37" customFormat="false" ht="15" hidden="false" customHeight="false" outlineLevel="0" collapsed="false">
      <c r="A37" s="5" t="s">
        <v>1440</v>
      </c>
      <c r="B37" s="5" t="s">
        <v>1455</v>
      </c>
      <c r="C37" s="5" t="s">
        <v>1356</v>
      </c>
      <c r="D37" s="5" t="s">
        <v>1357</v>
      </c>
      <c r="E37" s="5" t="s">
        <v>1416</v>
      </c>
      <c r="F37" s="5" t="s">
        <v>1335</v>
      </c>
      <c r="G37" s="5" t="s">
        <v>1336</v>
      </c>
      <c r="H37" s="5" t="s">
        <v>1456</v>
      </c>
    </row>
    <row r="38" customFormat="false" ht="15" hidden="false" customHeight="false" outlineLevel="0" collapsed="false">
      <c r="A38" s="37" t="n">
        <v>45676</v>
      </c>
      <c r="B38" s="5" t="s">
        <v>1457</v>
      </c>
      <c r="C38" s="5" t="s">
        <v>1324</v>
      </c>
      <c r="D38" s="5" t="s">
        <v>1458</v>
      </c>
      <c r="E38" s="5" t="s">
        <v>1416</v>
      </c>
      <c r="F38" s="5" t="s">
        <v>1335</v>
      </c>
      <c r="G38" s="5" t="s">
        <v>1336</v>
      </c>
      <c r="H38" s="5" t="s">
        <v>1459</v>
      </c>
    </row>
    <row r="39" customFormat="false" ht="15" hidden="false" customHeight="false" outlineLevel="0" collapsed="false">
      <c r="A39" s="5" t="s">
        <v>1460</v>
      </c>
      <c r="B39" s="5" t="s">
        <v>1461</v>
      </c>
      <c r="C39" s="5" t="s">
        <v>1383</v>
      </c>
      <c r="D39" s="5" t="s">
        <v>1384</v>
      </c>
      <c r="E39" s="5" t="s">
        <v>1416</v>
      </c>
      <c r="F39" s="5" t="s">
        <v>1374</v>
      </c>
      <c r="G39" s="5" t="s">
        <v>1375</v>
      </c>
      <c r="H39" s="5" t="s">
        <v>1462</v>
      </c>
    </row>
    <row r="40" customFormat="false" ht="15" hidden="false" customHeight="false" outlineLevel="0" collapsed="false">
      <c r="A40" s="5" t="s">
        <v>1463</v>
      </c>
      <c r="B40" s="5" t="s">
        <v>1464</v>
      </c>
      <c r="C40" s="5" t="n">
        <v>4040</v>
      </c>
      <c r="D40" s="5" t="s">
        <v>1340</v>
      </c>
      <c r="E40" s="5" t="s">
        <v>1319</v>
      </c>
      <c r="F40" s="5" t="s">
        <v>1320</v>
      </c>
      <c r="G40" s="5" t="s">
        <v>1321</v>
      </c>
      <c r="H40" s="5" t="s">
        <v>1465</v>
      </c>
    </row>
    <row r="41" customFormat="false" ht="15" hidden="false" customHeight="false" outlineLevel="0" collapsed="false">
      <c r="A41" s="5" t="s">
        <v>1466</v>
      </c>
      <c r="B41" s="5" t="s">
        <v>1467</v>
      </c>
      <c r="C41" s="5" t="s">
        <v>1332</v>
      </c>
      <c r="D41" s="5" t="s">
        <v>1367</v>
      </c>
      <c r="E41" s="5" t="s">
        <v>1468</v>
      </c>
      <c r="F41" s="5" t="s">
        <v>1335</v>
      </c>
      <c r="G41" s="5" t="s">
        <v>1336</v>
      </c>
      <c r="H41" s="5" t="n">
        <v>2521.04</v>
      </c>
    </row>
    <row r="42" customFormat="false" ht="15" hidden="false" customHeight="false" outlineLevel="0" collapsed="false">
      <c r="A42" s="5" t="s">
        <v>1469</v>
      </c>
      <c r="B42" s="5" t="s">
        <v>1470</v>
      </c>
      <c r="C42" s="5" t="s">
        <v>1453</v>
      </c>
      <c r="D42" s="5" t="s">
        <v>1360</v>
      </c>
      <c r="E42" s="5" t="s">
        <v>1326</v>
      </c>
      <c r="F42" s="5" t="s">
        <v>1327</v>
      </c>
      <c r="G42" s="5" t="s">
        <v>1328</v>
      </c>
      <c r="H42" s="5" t="s">
        <v>1471</v>
      </c>
    </row>
    <row r="43" customFormat="false" ht="15" hidden="false" customHeight="false" outlineLevel="0" collapsed="false">
      <c r="A43" s="37" t="n">
        <v>45679</v>
      </c>
      <c r="B43" s="5" t="s">
        <v>1472</v>
      </c>
      <c r="C43" s="5" t="s">
        <v>1339</v>
      </c>
      <c r="D43" s="5" t="s">
        <v>1340</v>
      </c>
      <c r="E43" s="5" t="s">
        <v>1346</v>
      </c>
      <c r="F43" s="5" t="s">
        <v>1341</v>
      </c>
      <c r="G43" s="5" t="s">
        <v>1342</v>
      </c>
      <c r="H43" s="5" t="s">
        <v>1473</v>
      </c>
    </row>
    <row r="44" customFormat="false" ht="15" hidden="false" customHeight="false" outlineLevel="0" collapsed="false">
      <c r="A44" s="5" t="s">
        <v>1474</v>
      </c>
      <c r="B44" s="5" t="s">
        <v>1475</v>
      </c>
      <c r="C44" s="5" t="s">
        <v>1339</v>
      </c>
      <c r="D44" s="5" t="s">
        <v>1340</v>
      </c>
      <c r="E44" s="5" t="s">
        <v>1468</v>
      </c>
      <c r="F44" s="5" t="s">
        <v>1335</v>
      </c>
      <c r="G44" s="5" t="s">
        <v>1336</v>
      </c>
      <c r="H44" s="5" t="s">
        <v>1476</v>
      </c>
    </row>
    <row r="45" customFormat="false" ht="15" hidden="false" customHeight="false" outlineLevel="0" collapsed="false">
      <c r="A45" s="5" t="s">
        <v>1477</v>
      </c>
      <c r="B45" s="5" t="s">
        <v>1478</v>
      </c>
      <c r="C45" s="5" t="s">
        <v>1332</v>
      </c>
      <c r="D45" s="5" t="s">
        <v>1333</v>
      </c>
      <c r="E45" s="5" t="s">
        <v>1416</v>
      </c>
      <c r="F45" s="5" t="s">
        <v>1374</v>
      </c>
      <c r="G45" s="5" t="s">
        <v>1375</v>
      </c>
      <c r="H45" s="5" t="s">
        <v>1479</v>
      </c>
    </row>
    <row r="46" customFormat="false" ht="15" hidden="false" customHeight="false" outlineLevel="0" collapsed="false">
      <c r="A46" s="5" t="s">
        <v>1480</v>
      </c>
      <c r="B46" s="5" t="s">
        <v>1481</v>
      </c>
      <c r="C46" s="5" t="s">
        <v>1383</v>
      </c>
      <c r="D46" s="5" t="s">
        <v>1384</v>
      </c>
      <c r="E46" s="5" t="s">
        <v>1373</v>
      </c>
      <c r="F46" s="5" t="s">
        <v>1374</v>
      </c>
      <c r="G46" s="5" t="s">
        <v>1375</v>
      </c>
      <c r="H46" s="5" t="s">
        <v>1482</v>
      </c>
    </row>
    <row r="47" customFormat="false" ht="15" hidden="false" customHeight="false" outlineLevel="0" collapsed="false">
      <c r="A47" s="5" t="s">
        <v>1483</v>
      </c>
      <c r="B47" s="5" t="s">
        <v>1484</v>
      </c>
      <c r="C47" s="5" t="n">
        <v>6006</v>
      </c>
      <c r="D47" s="5" t="s">
        <v>1357</v>
      </c>
      <c r="E47" s="5" t="s">
        <v>1326</v>
      </c>
      <c r="F47" s="5" t="s">
        <v>1327</v>
      </c>
      <c r="G47" s="5" t="s">
        <v>1328</v>
      </c>
      <c r="H47" s="5" t="n">
        <v>434.7</v>
      </c>
    </row>
    <row r="48" customFormat="false" ht="15" hidden="false" customHeight="false" outlineLevel="0" collapsed="false">
      <c r="A48" s="37" t="n">
        <v>45682</v>
      </c>
      <c r="B48" s="5" t="s">
        <v>1485</v>
      </c>
      <c r="C48" s="5" t="s">
        <v>1386</v>
      </c>
      <c r="D48" s="5" t="s">
        <v>1387</v>
      </c>
      <c r="E48" s="5" t="s">
        <v>1408</v>
      </c>
      <c r="F48" s="5" t="s">
        <v>1409</v>
      </c>
      <c r="G48" s="5" t="s">
        <v>1410</v>
      </c>
      <c r="H48" s="5" t="s">
        <v>1486</v>
      </c>
    </row>
    <row r="49" customFormat="false" ht="15" hidden="false" customHeight="false" outlineLevel="0" collapsed="false">
      <c r="A49" s="5" t="s">
        <v>1487</v>
      </c>
      <c r="B49" s="5" t="s">
        <v>1488</v>
      </c>
      <c r="C49" s="5" t="s">
        <v>1383</v>
      </c>
      <c r="D49" s="5" t="s">
        <v>1423</v>
      </c>
      <c r="E49" s="5" t="s">
        <v>1363</v>
      </c>
      <c r="F49" s="5" t="s">
        <v>1341</v>
      </c>
      <c r="G49" s="5" t="s">
        <v>1342</v>
      </c>
      <c r="H49" s="5" t="s">
        <v>1489</v>
      </c>
    </row>
    <row r="50" customFormat="false" ht="15" hidden="false" customHeight="false" outlineLevel="0" collapsed="false">
      <c r="A50" s="5" t="s">
        <v>1490</v>
      </c>
      <c r="B50" s="5" t="s">
        <v>1491</v>
      </c>
      <c r="C50" s="5" t="s">
        <v>1371</v>
      </c>
      <c r="D50" s="5" t="s">
        <v>1492</v>
      </c>
      <c r="E50" s="5" t="s">
        <v>1350</v>
      </c>
      <c r="F50" s="5" t="s">
        <v>1409</v>
      </c>
      <c r="G50" s="5" t="s">
        <v>1410</v>
      </c>
      <c r="H50" s="5" t="s">
        <v>1493</v>
      </c>
    </row>
    <row r="51" customFormat="false" ht="15" hidden="false" customHeight="false" outlineLevel="0" collapsed="false">
      <c r="A51" s="5" t="s">
        <v>1494</v>
      </c>
      <c r="B51" s="5" t="s">
        <v>1495</v>
      </c>
      <c r="C51" s="5" t="s">
        <v>1356</v>
      </c>
      <c r="D51" s="5" t="s">
        <v>1357</v>
      </c>
      <c r="E51" s="5" t="s">
        <v>1496</v>
      </c>
      <c r="F51" s="5" t="s">
        <v>1409</v>
      </c>
      <c r="G51" s="5" t="s">
        <v>1410</v>
      </c>
      <c r="H51" s="5" t="s">
        <v>1497</v>
      </c>
    </row>
    <row r="52" customFormat="false" ht="15" hidden="false" customHeight="false" outlineLevel="0" collapsed="false">
      <c r="A52" s="5" t="s">
        <v>1498</v>
      </c>
      <c r="B52" s="5" t="s">
        <v>1499</v>
      </c>
      <c r="C52" s="5" t="s">
        <v>1453</v>
      </c>
      <c r="D52" s="5" t="s">
        <v>1360</v>
      </c>
      <c r="E52" s="5" t="s">
        <v>1416</v>
      </c>
      <c r="F52" s="5" t="s">
        <v>1374</v>
      </c>
      <c r="G52" s="5" t="s">
        <v>1375</v>
      </c>
      <c r="H52" s="5" t="s">
        <v>1500</v>
      </c>
    </row>
    <row r="53" customFormat="false" ht="15" hidden="false" customHeight="false" outlineLevel="0" collapsed="false">
      <c r="A53" s="37" t="n">
        <v>45682</v>
      </c>
      <c r="B53" s="5" t="s">
        <v>1501</v>
      </c>
      <c r="C53" s="5" t="s">
        <v>1386</v>
      </c>
      <c r="D53" s="5" t="s">
        <v>1387</v>
      </c>
      <c r="E53" s="5" t="s">
        <v>1346</v>
      </c>
      <c r="F53" s="5" t="s">
        <v>1341</v>
      </c>
      <c r="G53" s="5" t="s">
        <v>1342</v>
      </c>
      <c r="H53" s="5" t="n">
        <v>5768.24</v>
      </c>
    </row>
    <row r="54" customFormat="false" ht="15" hidden="false" customHeight="false" outlineLevel="0" collapsed="false">
      <c r="A54" s="5" t="s">
        <v>1502</v>
      </c>
      <c r="B54" s="5" t="s">
        <v>1503</v>
      </c>
      <c r="C54" s="5" t="n">
        <v>5555</v>
      </c>
      <c r="D54" s="5" t="s">
        <v>1384</v>
      </c>
      <c r="E54" s="5" t="s">
        <v>1496</v>
      </c>
      <c r="F54" s="5" t="s">
        <v>1351</v>
      </c>
      <c r="G54" s="5" t="s">
        <v>1352</v>
      </c>
      <c r="H54" s="5" t="s">
        <v>1504</v>
      </c>
    </row>
    <row r="55" customFormat="false" ht="15" hidden="false" customHeight="false" outlineLevel="0" collapsed="false">
      <c r="A55" s="5" t="s">
        <v>1505</v>
      </c>
      <c r="B55" s="5" t="s">
        <v>1506</v>
      </c>
      <c r="C55" s="5" t="s">
        <v>1332</v>
      </c>
      <c r="D55" s="5" t="s">
        <v>1333</v>
      </c>
      <c r="E55" s="5" t="s">
        <v>1400</v>
      </c>
      <c r="F55" s="5" t="s">
        <v>1389</v>
      </c>
      <c r="G55" s="5" t="s">
        <v>1390</v>
      </c>
      <c r="H55" s="5" t="s">
        <v>1507</v>
      </c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</row>
    <row r="57" customFormat="false" ht="15" hidden="false" customHeight="false" outlineLevel="0" collapsed="false">
      <c r="A57" s="5" t="s">
        <v>1508</v>
      </c>
      <c r="B57" s="5" t="s">
        <v>1509</v>
      </c>
      <c r="C57" s="5" t="s">
        <v>1332</v>
      </c>
      <c r="D57" s="5" t="s">
        <v>1333</v>
      </c>
      <c r="E57" s="5" t="s">
        <v>1424</v>
      </c>
      <c r="F57" s="5" t="s">
        <v>1320</v>
      </c>
      <c r="G57" s="5" t="s">
        <v>1321</v>
      </c>
      <c r="H57" s="5" t="s">
        <v>1510</v>
      </c>
    </row>
    <row r="58" customFormat="false" ht="15" hidden="false" customHeight="false" outlineLevel="0" collapsed="false">
      <c r="A58" s="5" t="s">
        <v>1511</v>
      </c>
      <c r="B58" s="5" t="s">
        <v>1512</v>
      </c>
      <c r="C58" s="5" t="s">
        <v>1406</v>
      </c>
      <c r="D58" s="5" t="s">
        <v>1407</v>
      </c>
      <c r="E58" s="5" t="s">
        <v>1408</v>
      </c>
      <c r="F58" s="5" t="s">
        <v>1409</v>
      </c>
      <c r="G58" s="5" t="s">
        <v>1513</v>
      </c>
      <c r="H58" s="5" t="s">
        <v>1514</v>
      </c>
    </row>
    <row r="59" customFormat="false" ht="15" hidden="false" customHeight="false" outlineLevel="0" collapsed="false">
      <c r="A59" s="37" t="n">
        <v>45689</v>
      </c>
      <c r="B59" s="5" t="s">
        <v>1515</v>
      </c>
      <c r="C59" s="5" t="s">
        <v>1383</v>
      </c>
      <c r="D59" s="5" t="s">
        <v>1384</v>
      </c>
      <c r="E59" s="5" t="s">
        <v>1468</v>
      </c>
      <c r="F59" s="5" t="s">
        <v>1335</v>
      </c>
      <c r="G59" s="5" t="s">
        <v>1516</v>
      </c>
      <c r="H59" s="5" t="s">
        <v>1517</v>
      </c>
    </row>
    <row r="60" customFormat="false" ht="15" hidden="false" customHeight="false" outlineLevel="0" collapsed="false">
      <c r="A60" s="5" t="s">
        <v>1518</v>
      </c>
      <c r="B60" s="5" t="s">
        <v>1519</v>
      </c>
      <c r="C60" s="5" t="s">
        <v>1332</v>
      </c>
      <c r="D60" s="5" t="s">
        <v>1367</v>
      </c>
      <c r="E60" s="5" t="s">
        <v>1350</v>
      </c>
      <c r="F60" s="5" t="s">
        <v>1409</v>
      </c>
      <c r="G60" s="5" t="s">
        <v>1513</v>
      </c>
      <c r="H60" s="5" t="n">
        <v>6279.98</v>
      </c>
    </row>
    <row r="61" customFormat="false" ht="15" hidden="false" customHeight="false" outlineLevel="0" collapsed="false">
      <c r="A61" s="5" t="s">
        <v>1520</v>
      </c>
      <c r="B61" s="5" t="s">
        <v>1521</v>
      </c>
      <c r="C61" s="5" t="s">
        <v>1453</v>
      </c>
      <c r="D61" s="5" t="s">
        <v>1522</v>
      </c>
      <c r="E61" s="5" t="s">
        <v>1373</v>
      </c>
      <c r="F61" s="5" t="s">
        <v>1335</v>
      </c>
      <c r="G61" s="5" t="s">
        <v>1516</v>
      </c>
      <c r="H61" s="5" t="s">
        <v>1523</v>
      </c>
    </row>
    <row r="62" customFormat="false" ht="15" hidden="false" customHeight="false" outlineLevel="0" collapsed="false">
      <c r="A62" s="5" t="s">
        <v>1524</v>
      </c>
      <c r="B62" s="5" t="s">
        <v>1525</v>
      </c>
      <c r="C62" s="5" t="n">
        <v>4040</v>
      </c>
      <c r="D62" s="5" t="s">
        <v>1340</v>
      </c>
      <c r="E62" s="5" t="s">
        <v>1496</v>
      </c>
      <c r="F62" s="5" t="s">
        <v>1409</v>
      </c>
      <c r="G62" s="5" t="s">
        <v>1513</v>
      </c>
      <c r="H62" s="5" t="s">
        <v>1526</v>
      </c>
    </row>
    <row r="63" customFormat="false" ht="15" hidden="false" customHeight="false" outlineLevel="0" collapsed="false">
      <c r="A63" s="5" t="s">
        <v>1527</v>
      </c>
      <c r="B63" s="5" t="s">
        <v>1528</v>
      </c>
      <c r="C63" s="5" t="s">
        <v>1324</v>
      </c>
      <c r="D63" s="5" t="s">
        <v>1325</v>
      </c>
      <c r="E63" s="5" t="s">
        <v>1363</v>
      </c>
      <c r="F63" s="5" t="s">
        <v>1341</v>
      </c>
      <c r="G63" s="5" t="s">
        <v>1529</v>
      </c>
      <c r="H63" s="5" t="s">
        <v>1530</v>
      </c>
    </row>
    <row r="64" customFormat="false" ht="15" hidden="false" customHeight="false" outlineLevel="0" collapsed="false">
      <c r="A64" s="37" t="n">
        <v>45691</v>
      </c>
      <c r="B64" s="5" t="s">
        <v>1531</v>
      </c>
      <c r="C64" s="5" t="s">
        <v>1386</v>
      </c>
      <c r="D64" s="5" t="s">
        <v>1387</v>
      </c>
      <c r="E64" s="5" t="s">
        <v>1416</v>
      </c>
      <c r="F64" s="5" t="s">
        <v>1335</v>
      </c>
      <c r="G64" s="5" t="s">
        <v>1516</v>
      </c>
      <c r="H64" s="5" t="s">
        <v>1532</v>
      </c>
    </row>
    <row r="65" customFormat="false" ht="15" hidden="false" customHeight="false" outlineLevel="0" collapsed="false">
      <c r="A65" s="5" t="s">
        <v>1533</v>
      </c>
      <c r="B65" s="5" t="s">
        <v>1534</v>
      </c>
      <c r="C65" s="5" t="s">
        <v>1406</v>
      </c>
      <c r="D65" s="5" t="s">
        <v>1407</v>
      </c>
      <c r="E65" s="5" t="s">
        <v>1388</v>
      </c>
      <c r="F65" s="5" t="s">
        <v>1389</v>
      </c>
      <c r="G65" s="5" t="s">
        <v>1535</v>
      </c>
      <c r="H65" s="5" t="s">
        <v>1536</v>
      </c>
    </row>
    <row r="66" customFormat="false" ht="15" hidden="false" customHeight="false" outlineLevel="0" collapsed="false">
      <c r="A66" s="5" t="s">
        <v>1309</v>
      </c>
      <c r="B66" s="5" t="s">
        <v>1310</v>
      </c>
      <c r="C66" s="5" t="s">
        <v>1311</v>
      </c>
      <c r="D66" s="5" t="s">
        <v>1312</v>
      </c>
      <c r="E66" s="5" t="s">
        <v>1313</v>
      </c>
      <c r="F66" s="5" t="s">
        <v>1314</v>
      </c>
      <c r="G66" s="5" t="s">
        <v>1315</v>
      </c>
      <c r="H66" s="5" t="s">
        <v>90</v>
      </c>
    </row>
    <row r="67" customFormat="false" ht="15" hidden="false" customHeight="false" outlineLevel="0" collapsed="false">
      <c r="A67" s="5" t="s">
        <v>1537</v>
      </c>
      <c r="B67" s="5" t="s">
        <v>1538</v>
      </c>
      <c r="C67" s="5" t="s">
        <v>1332</v>
      </c>
      <c r="D67" s="5" t="s">
        <v>1333</v>
      </c>
      <c r="E67" s="5" t="s">
        <v>1468</v>
      </c>
      <c r="F67" s="5" t="s">
        <v>1374</v>
      </c>
      <c r="G67" s="5" t="s">
        <v>1539</v>
      </c>
      <c r="H67" s="5" t="n">
        <v>2589.43</v>
      </c>
    </row>
    <row r="68" customFormat="false" ht="15" hidden="false" customHeight="false" outlineLevel="0" collapsed="false">
      <c r="A68" s="5" t="s">
        <v>1540</v>
      </c>
      <c r="B68" s="5" t="s">
        <v>1541</v>
      </c>
      <c r="C68" s="5" t="s">
        <v>1371</v>
      </c>
      <c r="D68" s="5" t="s">
        <v>1372</v>
      </c>
      <c r="E68" s="5" t="s">
        <v>1496</v>
      </c>
      <c r="F68" s="5" t="s">
        <v>1409</v>
      </c>
      <c r="G68" s="5" t="s">
        <v>1513</v>
      </c>
      <c r="H68" s="5" t="s">
        <v>1542</v>
      </c>
    </row>
    <row r="69" customFormat="false" ht="15" hidden="false" customHeight="false" outlineLevel="0" collapsed="false">
      <c r="A69" s="5" t="s">
        <v>1543</v>
      </c>
      <c r="B69" s="5" t="s">
        <v>1544</v>
      </c>
      <c r="C69" s="5" t="s">
        <v>1356</v>
      </c>
      <c r="D69" s="5" t="s">
        <v>1357</v>
      </c>
      <c r="E69" s="5" t="s">
        <v>1400</v>
      </c>
      <c r="F69" s="5" t="s">
        <v>1389</v>
      </c>
      <c r="G69" s="5" t="s">
        <v>1535</v>
      </c>
      <c r="H69" s="5" t="s">
        <v>1545</v>
      </c>
    </row>
    <row r="70" customFormat="false" ht="15" hidden="false" customHeight="false" outlineLevel="0" collapsed="false">
      <c r="A70" s="37" t="n">
        <v>45693</v>
      </c>
      <c r="B70" s="5" t="s">
        <v>1546</v>
      </c>
      <c r="C70" s="5" t="n">
        <v>4040</v>
      </c>
      <c r="D70" s="5" t="s">
        <v>1547</v>
      </c>
      <c r="E70" s="5" t="s">
        <v>1363</v>
      </c>
      <c r="F70" s="5" t="s">
        <v>1341</v>
      </c>
      <c r="G70" s="5" t="s">
        <v>1529</v>
      </c>
      <c r="H70" s="5" t="s">
        <v>1548</v>
      </c>
    </row>
    <row r="71" customFormat="false" ht="15" hidden="false" customHeight="false" outlineLevel="0" collapsed="false">
      <c r="A71" s="5" t="s">
        <v>1549</v>
      </c>
      <c r="B71" s="5" t="s">
        <v>1550</v>
      </c>
      <c r="C71" s="5" t="s">
        <v>1356</v>
      </c>
      <c r="D71" s="5" t="s">
        <v>1357</v>
      </c>
      <c r="E71" s="5" t="s">
        <v>1450</v>
      </c>
      <c r="F71" s="5" t="s">
        <v>1401</v>
      </c>
      <c r="G71" s="5" t="s">
        <v>1551</v>
      </c>
      <c r="H71" s="5" t="s">
        <v>1552</v>
      </c>
    </row>
    <row r="72" customFormat="false" ht="15" hidden="false" customHeight="false" outlineLevel="0" collapsed="false">
      <c r="A72" s="5" t="s">
        <v>1553</v>
      </c>
      <c r="B72" s="5" t="s">
        <v>1554</v>
      </c>
      <c r="C72" s="5" t="s">
        <v>1453</v>
      </c>
      <c r="D72" s="5" t="s">
        <v>1360</v>
      </c>
      <c r="E72" s="5" t="s">
        <v>1363</v>
      </c>
      <c r="F72" s="5" t="s">
        <v>1327</v>
      </c>
      <c r="G72" s="5" t="s">
        <v>1555</v>
      </c>
      <c r="H72" s="5" t="s">
        <v>1556</v>
      </c>
    </row>
    <row r="73" customFormat="false" ht="15" hidden="false" customHeight="false" outlineLevel="0" collapsed="false">
      <c r="A73" s="5" t="s">
        <v>1557</v>
      </c>
      <c r="B73" s="5" t="s">
        <v>1558</v>
      </c>
      <c r="C73" s="5" t="s">
        <v>1356</v>
      </c>
      <c r="D73" s="5" t="s">
        <v>1559</v>
      </c>
      <c r="E73" s="5" t="s">
        <v>1350</v>
      </c>
      <c r="F73" s="5" t="s">
        <v>1409</v>
      </c>
      <c r="G73" s="5" t="s">
        <v>1513</v>
      </c>
      <c r="H73" s="5" t="n">
        <v>3256.02</v>
      </c>
    </row>
    <row r="74" customFormat="false" ht="15" hidden="false" customHeight="false" outlineLevel="0" collapsed="false">
      <c r="A74" s="5" t="s">
        <v>1560</v>
      </c>
      <c r="B74" s="5" t="s">
        <v>1561</v>
      </c>
      <c r="C74" s="5" t="s">
        <v>1371</v>
      </c>
      <c r="D74" s="5" t="s">
        <v>1372</v>
      </c>
      <c r="E74" s="5" t="s">
        <v>1326</v>
      </c>
      <c r="F74" s="5" t="s">
        <v>1341</v>
      </c>
      <c r="G74" s="5" t="s">
        <v>1529</v>
      </c>
      <c r="H74" s="5" t="s">
        <v>1562</v>
      </c>
    </row>
    <row r="75" customFormat="false" ht="15" hidden="false" customHeight="false" outlineLevel="0" collapsed="false">
      <c r="A75" s="37" t="n">
        <v>45695</v>
      </c>
      <c r="B75" s="5" t="s">
        <v>1563</v>
      </c>
      <c r="C75" s="5" t="s">
        <v>1332</v>
      </c>
      <c r="D75" s="5" t="s">
        <v>1333</v>
      </c>
      <c r="E75" s="5" t="s">
        <v>1408</v>
      </c>
      <c r="F75" s="5" t="s">
        <v>1351</v>
      </c>
      <c r="G75" s="5" t="s">
        <v>1564</v>
      </c>
      <c r="H75" s="5" t="s">
        <v>1565</v>
      </c>
    </row>
    <row r="76" customFormat="false" ht="15" hidden="false" customHeight="false" outlineLevel="0" collapsed="false">
      <c r="A76" s="5" t="s">
        <v>1566</v>
      </c>
      <c r="B76" s="5" t="s">
        <v>1567</v>
      </c>
      <c r="C76" s="5" t="s">
        <v>1383</v>
      </c>
      <c r="D76" s="5" t="s">
        <v>1384</v>
      </c>
      <c r="E76" s="5" t="s">
        <v>1450</v>
      </c>
      <c r="F76" s="5" t="s">
        <v>1389</v>
      </c>
      <c r="G76" s="5" t="s">
        <v>1535</v>
      </c>
      <c r="H76" s="5" t="s">
        <v>1568</v>
      </c>
    </row>
    <row r="77" customFormat="false" ht="15" hidden="false" customHeight="false" outlineLevel="0" collapsed="false">
      <c r="A77" s="5" t="s">
        <v>1569</v>
      </c>
      <c r="B77" s="5" t="s">
        <v>1570</v>
      </c>
      <c r="C77" s="5" t="n">
        <v>1011</v>
      </c>
      <c r="D77" s="5" t="s">
        <v>1325</v>
      </c>
      <c r="E77" s="5" t="s">
        <v>1438</v>
      </c>
      <c r="F77" s="5" t="s">
        <v>1401</v>
      </c>
      <c r="G77" s="5" t="s">
        <v>1551</v>
      </c>
      <c r="H77" s="5" t="s">
        <v>1571</v>
      </c>
    </row>
    <row r="78" customFormat="false" ht="15" hidden="false" customHeight="false" outlineLevel="0" collapsed="false">
      <c r="A78" s="5" t="s">
        <v>1572</v>
      </c>
      <c r="B78" s="5" t="s">
        <v>1573</v>
      </c>
      <c r="C78" s="5" t="s">
        <v>1406</v>
      </c>
      <c r="D78" s="5" t="s">
        <v>1407</v>
      </c>
      <c r="E78" s="5" t="s">
        <v>1373</v>
      </c>
      <c r="F78" s="5" t="s">
        <v>1335</v>
      </c>
      <c r="G78" s="5" t="s">
        <v>1516</v>
      </c>
      <c r="H78" s="5" t="s">
        <v>1574</v>
      </c>
    </row>
    <row r="79" customFormat="false" ht="15" hidden="false" customHeight="false" outlineLevel="0" collapsed="false">
      <c r="A79" s="5" t="s">
        <v>1575</v>
      </c>
      <c r="B79" s="5" t="s">
        <v>1576</v>
      </c>
      <c r="C79" s="5" t="s">
        <v>1332</v>
      </c>
      <c r="D79" s="5" t="s">
        <v>1367</v>
      </c>
      <c r="E79" s="5" t="s">
        <v>1496</v>
      </c>
      <c r="F79" s="5" t="s">
        <v>1409</v>
      </c>
      <c r="G79" s="5" t="s">
        <v>1513</v>
      </c>
      <c r="H79" s="5" t="n">
        <v>3884.24</v>
      </c>
    </row>
    <row r="80" customFormat="false" ht="15" hidden="false" customHeight="false" outlineLevel="0" collapsed="false">
      <c r="A80" s="37" t="n">
        <v>45696</v>
      </c>
      <c r="B80" s="5" t="s">
        <v>1577</v>
      </c>
      <c r="C80" s="5" t="s">
        <v>1332</v>
      </c>
      <c r="D80" s="5" t="s">
        <v>1333</v>
      </c>
      <c r="E80" s="5" t="s">
        <v>1326</v>
      </c>
      <c r="F80" s="5" t="s">
        <v>1341</v>
      </c>
      <c r="G80" s="5" t="s">
        <v>1529</v>
      </c>
      <c r="H80" s="5" t="s">
        <v>1578</v>
      </c>
    </row>
    <row r="81" customFormat="false" ht="15" hidden="false" customHeight="false" outlineLevel="0" collapsed="false">
      <c r="A81" s="5" t="s">
        <v>1579</v>
      </c>
      <c r="B81" s="5" t="s">
        <v>1580</v>
      </c>
      <c r="C81" s="5" t="s">
        <v>1453</v>
      </c>
      <c r="D81" s="5" t="s">
        <v>1360</v>
      </c>
      <c r="E81" s="5" t="s">
        <v>1350</v>
      </c>
      <c r="F81" s="5" t="s">
        <v>1351</v>
      </c>
      <c r="G81" s="5" t="s">
        <v>1564</v>
      </c>
      <c r="H81" s="5" t="s">
        <v>1581</v>
      </c>
    </row>
    <row r="82" customFormat="false" ht="15" hidden="false" customHeight="false" outlineLevel="0" collapsed="false">
      <c r="A82" s="5" t="s">
        <v>1582</v>
      </c>
      <c r="B82" s="5" t="s">
        <v>1583</v>
      </c>
      <c r="C82" s="5" t="s">
        <v>1324</v>
      </c>
      <c r="D82" s="5" t="s">
        <v>1325</v>
      </c>
      <c r="E82" s="5" t="s">
        <v>1346</v>
      </c>
      <c r="F82" s="5" t="s">
        <v>1327</v>
      </c>
      <c r="G82" s="5" t="s">
        <v>1555</v>
      </c>
      <c r="H82" s="5" t="s">
        <v>1584</v>
      </c>
    </row>
    <row r="83" customFormat="false" ht="15" hidden="false" customHeight="false" outlineLevel="0" collapsed="false">
      <c r="A83" s="5" t="s">
        <v>1585</v>
      </c>
      <c r="B83" s="5" t="s">
        <v>1586</v>
      </c>
      <c r="C83" s="5" t="s">
        <v>1371</v>
      </c>
      <c r="D83" s="5" t="s">
        <v>1372</v>
      </c>
      <c r="E83" s="5" t="s">
        <v>1363</v>
      </c>
      <c r="F83" s="5" t="s">
        <v>1341</v>
      </c>
      <c r="G83" s="5" t="s">
        <v>1529</v>
      </c>
      <c r="H83" s="5" t="s">
        <v>1587</v>
      </c>
    </row>
    <row r="84" customFormat="false" ht="15" hidden="false" customHeight="false" outlineLevel="0" collapsed="false">
      <c r="A84" s="5" t="s">
        <v>1588</v>
      </c>
      <c r="B84" s="5" t="s">
        <v>1589</v>
      </c>
      <c r="C84" s="5" t="n">
        <v>123</v>
      </c>
      <c r="D84" s="5" t="s">
        <v>1522</v>
      </c>
      <c r="E84" s="5" t="s">
        <v>1350</v>
      </c>
      <c r="F84" s="5" t="s">
        <v>1351</v>
      </c>
      <c r="G84" s="5" t="s">
        <v>1564</v>
      </c>
      <c r="H84" s="5" t="s">
        <v>1590</v>
      </c>
    </row>
    <row r="85" customFormat="false" ht="15" hidden="false" customHeight="false" outlineLevel="0" collapsed="false">
      <c r="A85" s="37" t="n">
        <v>45700</v>
      </c>
      <c r="B85" s="5" t="s">
        <v>1591</v>
      </c>
      <c r="C85" s="5" t="s">
        <v>1406</v>
      </c>
      <c r="D85" s="5" t="s">
        <v>1407</v>
      </c>
      <c r="E85" s="5" t="s">
        <v>1468</v>
      </c>
      <c r="F85" s="5" t="s">
        <v>1374</v>
      </c>
      <c r="G85" s="5" t="s">
        <v>1539</v>
      </c>
      <c r="H85" s="5" t="n">
        <v>8001.38</v>
      </c>
    </row>
    <row r="86" customFormat="false" ht="15" hidden="false" customHeight="false" outlineLevel="0" collapsed="false">
      <c r="A86" s="5" t="s">
        <v>1592</v>
      </c>
      <c r="B86" s="5" t="s">
        <v>1593</v>
      </c>
      <c r="C86" s="5" t="s">
        <v>1332</v>
      </c>
      <c r="D86" s="5" t="s">
        <v>1333</v>
      </c>
      <c r="E86" s="5" t="s">
        <v>1424</v>
      </c>
      <c r="F86" s="5" t="s">
        <v>1431</v>
      </c>
      <c r="G86" s="5" t="s">
        <v>1594</v>
      </c>
      <c r="H86" s="5" t="s">
        <v>1595</v>
      </c>
    </row>
    <row r="87" customFormat="false" ht="15" hidden="false" customHeight="false" outlineLevel="0" collapsed="false">
      <c r="A87" s="5" t="s">
        <v>1596</v>
      </c>
      <c r="B87" s="5" t="s">
        <v>1597</v>
      </c>
      <c r="C87" s="5" t="s">
        <v>1332</v>
      </c>
      <c r="D87" s="5" t="s">
        <v>1333</v>
      </c>
      <c r="E87" s="5" t="s">
        <v>1408</v>
      </c>
      <c r="F87" s="5" t="s">
        <v>1351</v>
      </c>
      <c r="G87" s="5" t="s">
        <v>1564</v>
      </c>
      <c r="H87" s="5" t="s">
        <v>1598</v>
      </c>
    </row>
    <row r="88" customFormat="false" ht="15" hidden="false" customHeight="false" outlineLevel="0" collapsed="false">
      <c r="A88" s="5" t="s">
        <v>1599</v>
      </c>
      <c r="B88" s="5" t="s">
        <v>1600</v>
      </c>
      <c r="C88" s="5" t="s">
        <v>1453</v>
      </c>
      <c r="D88" s="5" t="s">
        <v>1601</v>
      </c>
      <c r="E88" s="5" t="s">
        <v>1334</v>
      </c>
      <c r="F88" s="5" t="s">
        <v>1374</v>
      </c>
      <c r="G88" s="5" t="s">
        <v>1539</v>
      </c>
      <c r="H88" s="5" t="s">
        <v>1602</v>
      </c>
    </row>
    <row r="89" customFormat="false" ht="15" hidden="false" customHeight="false" outlineLevel="0" collapsed="false">
      <c r="A89" s="5" t="s">
        <v>1603</v>
      </c>
      <c r="B89" s="5" t="s">
        <v>1604</v>
      </c>
      <c r="C89" s="5" t="s">
        <v>1371</v>
      </c>
      <c r="D89" s="5" t="s">
        <v>1372</v>
      </c>
      <c r="E89" s="5" t="s">
        <v>1496</v>
      </c>
      <c r="F89" s="5" t="s">
        <v>1351</v>
      </c>
      <c r="G89" s="5" t="s">
        <v>1564</v>
      </c>
      <c r="H89" s="5" t="s">
        <v>1605</v>
      </c>
    </row>
    <row r="90" customFormat="false" ht="15" hidden="false" customHeight="false" outlineLevel="0" collapsed="false">
      <c r="A90" s="5" t="s">
        <v>1603</v>
      </c>
      <c r="B90" s="5" t="s">
        <v>1604</v>
      </c>
      <c r="C90" s="5" t="s">
        <v>1371</v>
      </c>
      <c r="D90" s="5" t="s">
        <v>1372</v>
      </c>
      <c r="E90" s="5" t="s">
        <v>1496</v>
      </c>
      <c r="F90" s="5" t="s">
        <v>1351</v>
      </c>
      <c r="G90" s="5" t="s">
        <v>1564</v>
      </c>
      <c r="H90" s="5" t="s">
        <v>1605</v>
      </c>
    </row>
    <row r="91" customFormat="false" ht="15" hidden="false" customHeight="false" outlineLevel="0" collapsed="false">
      <c r="A91" s="5" t="s">
        <v>1606</v>
      </c>
      <c r="B91" s="5" t="s">
        <v>1607</v>
      </c>
      <c r="C91" s="5" t="n">
        <v>2020</v>
      </c>
      <c r="D91" s="5" t="s">
        <v>1387</v>
      </c>
      <c r="E91" s="5" t="s">
        <v>1346</v>
      </c>
      <c r="F91" s="5" t="s">
        <v>1341</v>
      </c>
      <c r="G91" s="5" t="s">
        <v>1529</v>
      </c>
      <c r="H91" s="5" t="n">
        <v>3045.37</v>
      </c>
    </row>
    <row r="92" customFormat="false" ht="15" hidden="false" customHeight="false" outlineLevel="0" collapsed="false">
      <c r="A92" s="5" t="s">
        <v>1608</v>
      </c>
      <c r="B92" s="5" t="s">
        <v>1607</v>
      </c>
      <c r="C92" s="5" t="s">
        <v>1386</v>
      </c>
      <c r="D92" s="5" t="s">
        <v>1387</v>
      </c>
      <c r="E92" s="5" t="s">
        <v>1346</v>
      </c>
      <c r="F92" s="5" t="s">
        <v>1341</v>
      </c>
      <c r="G92" s="5" t="s">
        <v>1529</v>
      </c>
      <c r="H92" s="5" t="s">
        <v>1609</v>
      </c>
    </row>
    <row r="93" customFormat="false" ht="15" hidden="false" customHeight="false" outlineLevel="0" collapsed="false">
      <c r="A93" s="5" t="s">
        <v>1610</v>
      </c>
      <c r="B93" s="5" t="s">
        <v>1611</v>
      </c>
      <c r="C93" s="5" t="s">
        <v>1339</v>
      </c>
      <c r="D93" s="5" t="s">
        <v>1340</v>
      </c>
      <c r="E93" s="5" t="s">
        <v>1373</v>
      </c>
      <c r="F93" s="5" t="s">
        <v>1335</v>
      </c>
      <c r="G93" s="5" t="s">
        <v>1516</v>
      </c>
      <c r="H93" s="5" t="s">
        <v>1612</v>
      </c>
    </row>
    <row r="94" customFormat="false" ht="15" hidden="false" customHeight="false" outlineLevel="0" collapsed="false">
      <c r="A94" s="5" t="s">
        <v>1613</v>
      </c>
      <c r="B94" s="5" t="s">
        <v>1614</v>
      </c>
      <c r="C94" s="5" t="s">
        <v>1383</v>
      </c>
      <c r="D94" s="5" t="s">
        <v>1384</v>
      </c>
      <c r="E94" s="5" t="s">
        <v>1334</v>
      </c>
      <c r="F94" s="5" t="s">
        <v>1335</v>
      </c>
      <c r="G94" s="5" t="s">
        <v>1516</v>
      </c>
      <c r="H94" s="5" t="s">
        <v>1615</v>
      </c>
    </row>
    <row r="95" customFormat="false" ht="15" hidden="false" customHeight="false" outlineLevel="0" collapsed="false">
      <c r="A95" s="37" t="n">
        <v>45707</v>
      </c>
      <c r="B95" s="5" t="s">
        <v>1616</v>
      </c>
      <c r="C95" s="5" t="s">
        <v>1386</v>
      </c>
      <c r="D95" s="5" t="s">
        <v>1617</v>
      </c>
      <c r="E95" s="5" t="s">
        <v>1438</v>
      </c>
      <c r="F95" s="5" t="s">
        <v>1389</v>
      </c>
      <c r="G95" s="5" t="s">
        <v>1535</v>
      </c>
      <c r="H95" s="5" t="s">
        <v>1618</v>
      </c>
    </row>
    <row r="96" customFormat="false" ht="15" hidden="false" customHeight="false" outlineLevel="0" collapsed="false">
      <c r="A96" s="5" t="s">
        <v>1619</v>
      </c>
      <c r="B96" s="5" t="s">
        <v>1620</v>
      </c>
      <c r="C96" s="5" t="s">
        <v>1383</v>
      </c>
      <c r="D96" s="5" t="s">
        <v>1384</v>
      </c>
      <c r="E96" s="5" t="s">
        <v>1373</v>
      </c>
      <c r="F96" s="5" t="s">
        <v>1335</v>
      </c>
      <c r="G96" s="5" t="s">
        <v>1516</v>
      </c>
      <c r="H96" s="5" t="s">
        <v>1621</v>
      </c>
    </row>
    <row r="97" customFormat="false" ht="15" hidden="false" customHeight="false" outlineLevel="0" collapsed="false">
      <c r="A97" s="5" t="s">
        <v>1622</v>
      </c>
      <c r="B97" s="5" t="s">
        <v>1623</v>
      </c>
      <c r="C97" s="5" t="s">
        <v>1339</v>
      </c>
      <c r="D97" s="5" t="s">
        <v>1547</v>
      </c>
      <c r="E97" s="5" t="s">
        <v>1334</v>
      </c>
      <c r="F97" s="5" t="s">
        <v>1374</v>
      </c>
      <c r="G97" s="5" t="s">
        <v>1539</v>
      </c>
      <c r="H97" s="5" t="n">
        <v>4592.33</v>
      </c>
    </row>
    <row r="98" customFormat="false" ht="15" hidden="false" customHeight="false" outlineLevel="0" collapsed="false">
      <c r="A98" s="5" t="s">
        <v>1624</v>
      </c>
      <c r="B98" s="5" t="s">
        <v>1625</v>
      </c>
      <c r="C98" s="5" t="n">
        <v>789</v>
      </c>
      <c r="D98" s="5" t="s">
        <v>1407</v>
      </c>
      <c r="E98" s="5" t="s">
        <v>1408</v>
      </c>
      <c r="F98" s="5" t="s">
        <v>1409</v>
      </c>
      <c r="G98" s="5" t="s">
        <v>1513</v>
      </c>
      <c r="H98" s="5" t="s">
        <v>1626</v>
      </c>
    </row>
    <row r="99" customFormat="false" ht="15" hidden="false" customHeight="false" outlineLevel="0" collapsed="false">
      <c r="A99" s="5" t="s">
        <v>1627</v>
      </c>
      <c r="B99" s="5" t="s">
        <v>1628</v>
      </c>
      <c r="C99" s="5" t="s">
        <v>1453</v>
      </c>
      <c r="D99" s="5" t="s">
        <v>1360</v>
      </c>
      <c r="E99" s="5" t="s">
        <v>1496</v>
      </c>
      <c r="F99" s="5" t="s">
        <v>1351</v>
      </c>
      <c r="G99" s="5" t="s">
        <v>1564</v>
      </c>
      <c r="H99" s="5" t="s">
        <v>1629</v>
      </c>
    </row>
    <row r="100" customFormat="false" ht="15" hidden="false" customHeight="false" outlineLevel="0" collapsed="false">
      <c r="A100" s="37" t="n">
        <v>45713</v>
      </c>
      <c r="B100" s="5" t="s">
        <v>1630</v>
      </c>
      <c r="C100" s="5" t="s">
        <v>1453</v>
      </c>
      <c r="D100" s="5" t="s">
        <v>1360</v>
      </c>
      <c r="E100" s="5" t="s">
        <v>1400</v>
      </c>
      <c r="F100" s="5" t="s">
        <v>1389</v>
      </c>
      <c r="G100" s="5" t="s">
        <v>1535</v>
      </c>
      <c r="H100" s="5" t="s">
        <v>1631</v>
      </c>
    </row>
    <row r="101" customFormat="false" ht="15" hidden="false" customHeight="false" outlineLevel="0" collapsed="false">
      <c r="A101" s="5" t="s">
        <v>1632</v>
      </c>
      <c r="B101" s="5" t="s">
        <v>1633</v>
      </c>
      <c r="C101" s="5" t="s">
        <v>1339</v>
      </c>
      <c r="D101" s="5" t="s">
        <v>1340</v>
      </c>
      <c r="E101" s="5" t="s">
        <v>1408</v>
      </c>
      <c r="F101" s="5" t="s">
        <v>1409</v>
      </c>
      <c r="G101" s="5" t="s">
        <v>1513</v>
      </c>
      <c r="H101" s="5" t="s">
        <v>1634</v>
      </c>
    </row>
    <row r="102" customFormat="false" ht="15" hidden="false" customHeight="false" outlineLevel="0" collapsed="false">
      <c r="A102" s="5" t="s">
        <v>1635</v>
      </c>
      <c r="B102" s="5" t="s">
        <v>1636</v>
      </c>
      <c r="C102" s="5" t="s">
        <v>1386</v>
      </c>
      <c r="D102" s="5" t="s">
        <v>1387</v>
      </c>
      <c r="E102" s="5" t="s">
        <v>1363</v>
      </c>
      <c r="F102" s="5" t="s">
        <v>1341</v>
      </c>
      <c r="G102" s="5" t="s">
        <v>1529</v>
      </c>
      <c r="H102" s="5" t="s">
        <v>1637</v>
      </c>
    </row>
    <row r="103" customFormat="false" ht="15" hidden="false" customHeight="false" outlineLevel="0" collapsed="false">
      <c r="A103" s="5" t="s">
        <v>1638</v>
      </c>
      <c r="B103" s="5" t="s">
        <v>1639</v>
      </c>
      <c r="C103" s="5" t="s">
        <v>1324</v>
      </c>
      <c r="D103" s="5" t="s">
        <v>1325</v>
      </c>
      <c r="E103" s="5" t="s">
        <v>1363</v>
      </c>
      <c r="F103" s="5" t="s">
        <v>1327</v>
      </c>
      <c r="G103" s="5" t="s">
        <v>1555</v>
      </c>
      <c r="H103" s="5" t="n">
        <v>422.25</v>
      </c>
    </row>
    <row r="104" customFormat="false" ht="15" hidden="false" customHeight="false" outlineLevel="0" collapsed="false">
      <c r="A104" s="5" t="s">
        <v>1640</v>
      </c>
      <c r="B104" s="5" t="s">
        <v>1641</v>
      </c>
      <c r="C104" s="5" t="s">
        <v>1339</v>
      </c>
      <c r="D104" s="5" t="s">
        <v>1340</v>
      </c>
      <c r="E104" s="5" t="s">
        <v>1427</v>
      </c>
      <c r="F104" s="5" t="s">
        <v>1320</v>
      </c>
      <c r="G104" s="5" t="s">
        <v>1642</v>
      </c>
      <c r="H104" s="5" t="s">
        <v>1643</v>
      </c>
    </row>
    <row r="105" customFormat="false" ht="15" hidden="false" customHeight="false" outlineLevel="0" collapsed="false">
      <c r="A105" s="37" t="n">
        <v>45716</v>
      </c>
      <c r="B105" s="5" t="s">
        <v>1644</v>
      </c>
      <c r="C105" s="5" t="n">
        <v>4040</v>
      </c>
      <c r="D105" s="5" t="s">
        <v>1340</v>
      </c>
      <c r="E105" s="5" t="s">
        <v>1450</v>
      </c>
      <c r="F105" s="5" t="s">
        <v>1389</v>
      </c>
      <c r="G105" s="5" t="s">
        <v>1535</v>
      </c>
      <c r="H105" s="5" t="s">
        <v>1645</v>
      </c>
    </row>
    <row r="106" customFormat="false" ht="15" hidden="false" customHeight="false" outlineLevel="0" collapsed="false">
      <c r="A106" s="5" t="s">
        <v>1646</v>
      </c>
      <c r="B106" s="5" t="s">
        <v>1647</v>
      </c>
      <c r="C106" s="5" t="s">
        <v>1371</v>
      </c>
      <c r="D106" s="5" t="s">
        <v>1648</v>
      </c>
      <c r="E106" s="5" t="s">
        <v>1400</v>
      </c>
      <c r="F106" s="5" t="s">
        <v>1401</v>
      </c>
      <c r="G106" s="5" t="s">
        <v>1551</v>
      </c>
      <c r="H106" s="5" t="s">
        <v>1649</v>
      </c>
    </row>
    <row r="107" customFormat="false" ht="15" hidden="false" customHeight="false" outlineLevel="0" collapsed="false">
      <c r="A107" s="5" t="s">
        <v>1650</v>
      </c>
      <c r="B107" s="5" t="s">
        <v>1651</v>
      </c>
      <c r="C107" s="5" t="s">
        <v>1339</v>
      </c>
      <c r="D107" s="5" t="s">
        <v>1340</v>
      </c>
      <c r="E107" s="5" t="s">
        <v>1400</v>
      </c>
      <c r="F107" s="5" t="s">
        <v>1401</v>
      </c>
      <c r="G107" s="5" t="s">
        <v>1551</v>
      </c>
      <c r="H107" s="5" t="s">
        <v>1652</v>
      </c>
    </row>
    <row r="108" customFormat="false" ht="15" hidden="false" customHeight="false" outlineLevel="0" collapsed="false">
      <c r="A108" s="5" t="s">
        <v>1653</v>
      </c>
      <c r="B108" s="5" t="s">
        <v>1654</v>
      </c>
      <c r="C108" s="5" t="s">
        <v>1386</v>
      </c>
      <c r="D108" s="5" t="s">
        <v>1387</v>
      </c>
      <c r="E108" s="5" t="s">
        <v>1363</v>
      </c>
      <c r="F108" s="5" t="s">
        <v>1327</v>
      </c>
      <c r="G108" s="5" t="s">
        <v>1655</v>
      </c>
      <c r="H108" s="5" t="s">
        <v>1656</v>
      </c>
    </row>
    <row r="109" customFormat="false" ht="15" hidden="false" customHeight="false" outlineLevel="0" collapsed="false">
      <c r="A109" s="5" t="s">
        <v>1657</v>
      </c>
      <c r="B109" s="5" t="s">
        <v>1658</v>
      </c>
      <c r="C109" s="5" t="s">
        <v>1332</v>
      </c>
      <c r="D109" s="5" t="s">
        <v>1333</v>
      </c>
      <c r="E109" s="5" t="s">
        <v>1363</v>
      </c>
      <c r="F109" s="5" t="s">
        <v>1327</v>
      </c>
      <c r="G109" s="5" t="s">
        <v>1655</v>
      </c>
      <c r="H109" s="5" t="n">
        <v>3482.05</v>
      </c>
    </row>
    <row r="110" customFormat="false" ht="15" hidden="false" customHeight="false" outlineLevel="0" collapsed="false">
      <c r="A110" s="37" t="n">
        <v>45718</v>
      </c>
      <c r="B110" s="5" t="s">
        <v>1659</v>
      </c>
      <c r="C110" s="5" t="s">
        <v>1339</v>
      </c>
      <c r="D110" s="5" t="s">
        <v>1340</v>
      </c>
      <c r="E110" s="5" t="s">
        <v>1350</v>
      </c>
      <c r="F110" s="5" t="s">
        <v>1409</v>
      </c>
      <c r="G110" s="5" t="s">
        <v>1660</v>
      </c>
      <c r="H110" s="5" t="s">
        <v>1661</v>
      </c>
    </row>
    <row r="111" customFormat="false" ht="15" hidden="false" customHeight="false" outlineLevel="0" collapsed="false">
      <c r="A111" s="5" t="s">
        <v>1662</v>
      </c>
      <c r="B111" s="5" t="s">
        <v>1663</v>
      </c>
      <c r="C111" s="5" t="s">
        <v>1383</v>
      </c>
      <c r="D111" s="5" t="s">
        <v>1384</v>
      </c>
      <c r="E111" s="5" t="s">
        <v>1373</v>
      </c>
      <c r="F111" s="5" t="s">
        <v>1335</v>
      </c>
      <c r="G111" s="5" t="s">
        <v>1664</v>
      </c>
      <c r="H111" s="5" t="s">
        <v>1665</v>
      </c>
    </row>
    <row r="112" customFormat="false" ht="15" hidden="false" customHeight="false" outlineLevel="0" collapsed="false">
      <c r="A112" s="5" t="s">
        <v>1666</v>
      </c>
      <c r="B112" s="5" t="s">
        <v>1667</v>
      </c>
      <c r="C112" s="5" t="n">
        <v>3003</v>
      </c>
      <c r="D112" s="5" t="s">
        <v>1372</v>
      </c>
      <c r="E112" s="5" t="s">
        <v>1326</v>
      </c>
      <c r="F112" s="5" t="s">
        <v>1341</v>
      </c>
      <c r="G112" s="5" t="s">
        <v>1668</v>
      </c>
      <c r="H112" s="5" t="s">
        <v>1669</v>
      </c>
    </row>
    <row r="113" customFormat="false" ht="15" hidden="false" customHeight="false" outlineLevel="0" collapsed="false">
      <c r="A113" s="5" t="s">
        <v>1670</v>
      </c>
      <c r="B113" s="5" t="s">
        <v>1671</v>
      </c>
      <c r="C113" s="5" t="s">
        <v>1386</v>
      </c>
      <c r="D113" s="5" t="s">
        <v>1387</v>
      </c>
      <c r="E113" s="5" t="s">
        <v>1373</v>
      </c>
      <c r="F113" s="5" t="s">
        <v>1374</v>
      </c>
      <c r="G113" s="5" t="s">
        <v>1672</v>
      </c>
      <c r="H113" s="5" t="s">
        <v>1673</v>
      </c>
    </row>
    <row r="114" customFormat="false" ht="15" hidden="false" customHeight="false" outlineLevel="0" collapsed="false">
      <c r="A114" s="5" t="s">
        <v>1674</v>
      </c>
      <c r="B114" s="5" t="s">
        <v>1675</v>
      </c>
      <c r="C114" s="5" t="s">
        <v>1406</v>
      </c>
      <c r="D114" s="5" t="s">
        <v>1407</v>
      </c>
      <c r="E114" s="5" t="s">
        <v>1424</v>
      </c>
      <c r="F114" s="5" t="s">
        <v>1320</v>
      </c>
      <c r="G114" s="5" t="s">
        <v>1676</v>
      </c>
      <c r="H114" s="5" t="s">
        <v>1677</v>
      </c>
    </row>
    <row r="115" customFormat="false" ht="15" hidden="false" customHeight="false" outlineLevel="0" collapsed="false">
      <c r="A115" s="37" t="n">
        <v>45723</v>
      </c>
      <c r="B115" s="5" t="s">
        <v>1678</v>
      </c>
      <c r="C115" s="5" t="s">
        <v>1371</v>
      </c>
      <c r="D115" s="5" t="s">
        <v>1492</v>
      </c>
      <c r="E115" s="5" t="s">
        <v>1427</v>
      </c>
      <c r="F115" s="5" t="s">
        <v>1431</v>
      </c>
      <c r="G115" s="5" t="s">
        <v>1679</v>
      </c>
      <c r="H115" s="5" t="n">
        <v>1736.91</v>
      </c>
    </row>
    <row r="116" customFormat="false" ht="15" hidden="false" customHeight="false" outlineLevel="0" collapsed="false">
      <c r="A116" s="5" t="s">
        <v>1680</v>
      </c>
      <c r="B116" s="5" t="s">
        <v>1681</v>
      </c>
      <c r="C116" s="5" t="s">
        <v>1386</v>
      </c>
      <c r="D116" s="5" t="s">
        <v>1387</v>
      </c>
      <c r="E116" s="5" t="s">
        <v>1319</v>
      </c>
      <c r="F116" s="5" t="s">
        <v>1320</v>
      </c>
      <c r="G116" s="5" t="s">
        <v>1676</v>
      </c>
      <c r="H116" s="5" t="s">
        <v>1682</v>
      </c>
    </row>
    <row r="117" customFormat="false" ht="15" hidden="false" customHeight="false" outlineLevel="0" collapsed="false">
      <c r="A117" s="5" t="s">
        <v>1683</v>
      </c>
      <c r="B117" s="5" t="s">
        <v>1684</v>
      </c>
      <c r="C117" s="5" t="s">
        <v>1332</v>
      </c>
      <c r="D117" s="5" t="s">
        <v>1685</v>
      </c>
      <c r="E117" s="5" t="s">
        <v>1416</v>
      </c>
      <c r="F117" s="5" t="s">
        <v>1335</v>
      </c>
      <c r="G117" s="5" t="s">
        <v>1664</v>
      </c>
      <c r="H117" s="5" t="s">
        <v>1686</v>
      </c>
    </row>
    <row r="118" customFormat="false" ht="15" hidden="false" customHeight="false" outlineLevel="0" collapsed="false">
      <c r="A118" s="5" t="s">
        <v>1687</v>
      </c>
      <c r="B118" s="5" t="s">
        <v>1688</v>
      </c>
      <c r="C118" s="5" t="s">
        <v>1453</v>
      </c>
      <c r="D118" s="5" t="s">
        <v>1360</v>
      </c>
      <c r="E118" s="5" t="s">
        <v>1350</v>
      </c>
      <c r="F118" s="5" t="s">
        <v>1351</v>
      </c>
      <c r="G118" s="5" t="s">
        <v>1689</v>
      </c>
      <c r="H118" s="5" t="s">
        <v>1690</v>
      </c>
    </row>
    <row r="119" customFormat="false" ht="15" hidden="false" customHeight="false" outlineLevel="0" collapsed="false">
      <c r="A119" s="5" t="s">
        <v>1691</v>
      </c>
      <c r="B119" s="5" t="s">
        <v>1692</v>
      </c>
      <c r="C119" s="5" t="n">
        <v>2020</v>
      </c>
      <c r="D119" s="5" t="s">
        <v>1387</v>
      </c>
      <c r="E119" s="5" t="s">
        <v>1326</v>
      </c>
      <c r="F119" s="5" t="s">
        <v>1341</v>
      </c>
      <c r="G119" s="5" t="s">
        <v>1668</v>
      </c>
      <c r="H119" s="5" t="s">
        <v>1693</v>
      </c>
    </row>
    <row r="120" customFormat="false" ht="15" hidden="false" customHeight="false" outlineLevel="0" collapsed="false">
      <c r="A120" s="37" t="n">
        <v>45727</v>
      </c>
      <c r="B120" s="5" t="s">
        <v>1694</v>
      </c>
      <c r="C120" s="5" t="s">
        <v>1339</v>
      </c>
      <c r="D120" s="5" t="s">
        <v>1340</v>
      </c>
      <c r="E120" s="5" t="s">
        <v>1450</v>
      </c>
      <c r="F120" s="5" t="s">
        <v>1389</v>
      </c>
      <c r="G120" s="5" t="s">
        <v>1695</v>
      </c>
      <c r="H120" s="5" t="s">
        <v>1696</v>
      </c>
    </row>
    <row r="121" customFormat="false" ht="15" hidden="false" customHeight="false" outlineLevel="0" collapsed="false">
      <c r="A121" s="5" t="s">
        <v>1697</v>
      </c>
      <c r="B121" s="5" t="s">
        <v>1698</v>
      </c>
      <c r="C121" s="5" t="s">
        <v>1332</v>
      </c>
      <c r="D121" s="5" t="s">
        <v>1333</v>
      </c>
      <c r="E121" s="5" t="s">
        <v>1363</v>
      </c>
      <c r="F121" s="5" t="s">
        <v>1341</v>
      </c>
      <c r="G121" s="5" t="s">
        <v>1668</v>
      </c>
      <c r="H121" s="5" t="n">
        <v>5828.24</v>
      </c>
    </row>
    <row r="122" customFormat="false" ht="15" hidden="false" customHeight="false" outlineLevel="0" collapsed="false">
      <c r="A122" s="5" t="s">
        <v>1699</v>
      </c>
      <c r="B122" s="5" t="s">
        <v>1700</v>
      </c>
      <c r="C122" s="5" t="s">
        <v>1332</v>
      </c>
      <c r="D122" s="5" t="s">
        <v>1333</v>
      </c>
      <c r="E122" s="5" t="s">
        <v>1424</v>
      </c>
      <c r="F122" s="5" t="s">
        <v>1320</v>
      </c>
      <c r="G122" s="5" t="s">
        <v>1676</v>
      </c>
      <c r="H122" s="5" t="s">
        <v>1701</v>
      </c>
    </row>
    <row r="123" customFormat="false" ht="15" hidden="false" customHeight="false" outlineLevel="0" collapsed="false">
      <c r="A123" s="5" t="s">
        <v>1702</v>
      </c>
      <c r="B123" s="5" t="s">
        <v>1703</v>
      </c>
      <c r="C123" s="5" t="s">
        <v>1324</v>
      </c>
      <c r="D123" s="5" t="s">
        <v>1325</v>
      </c>
      <c r="E123" s="5" t="s">
        <v>1326</v>
      </c>
      <c r="F123" s="5" t="s">
        <v>1327</v>
      </c>
      <c r="G123" s="5" t="s">
        <v>1655</v>
      </c>
      <c r="H123" s="5" t="s">
        <v>1704</v>
      </c>
    </row>
    <row r="124" customFormat="false" ht="15" hidden="false" customHeight="false" outlineLevel="0" collapsed="false">
      <c r="A124" s="5" t="s">
        <v>1705</v>
      </c>
      <c r="B124" s="5" t="s">
        <v>1706</v>
      </c>
      <c r="C124" s="5" t="s">
        <v>1453</v>
      </c>
      <c r="D124" s="5" t="s">
        <v>1601</v>
      </c>
      <c r="E124" s="5" t="s">
        <v>1416</v>
      </c>
      <c r="F124" s="5" t="s">
        <v>1374</v>
      </c>
      <c r="G124" s="5" t="s">
        <v>1672</v>
      </c>
      <c r="H124" s="5" t="s">
        <v>1707</v>
      </c>
    </row>
    <row r="125" customFormat="false" ht="15" hidden="false" customHeight="false" outlineLevel="0" collapsed="false">
      <c r="A125" s="37" t="n">
        <v>45728</v>
      </c>
      <c r="B125" s="5" t="s">
        <v>1708</v>
      </c>
      <c r="C125" s="5" t="s">
        <v>1371</v>
      </c>
      <c r="D125" s="5" t="s">
        <v>1372</v>
      </c>
      <c r="E125" s="5" t="s">
        <v>1319</v>
      </c>
      <c r="F125" s="5" t="s">
        <v>1431</v>
      </c>
      <c r="G125" s="5" t="s">
        <v>1679</v>
      </c>
      <c r="H125" s="5" t="s">
        <v>1709</v>
      </c>
    </row>
    <row r="126" customFormat="false" ht="15" hidden="false" customHeight="false" outlineLevel="0" collapsed="false">
      <c r="A126" s="5" t="s">
        <v>1710</v>
      </c>
      <c r="B126" s="5" t="s">
        <v>1711</v>
      </c>
      <c r="C126" s="5" t="n">
        <v>123</v>
      </c>
      <c r="D126" s="5" t="s">
        <v>1360</v>
      </c>
      <c r="E126" s="5" t="s">
        <v>1496</v>
      </c>
      <c r="F126" s="5" t="s">
        <v>1351</v>
      </c>
      <c r="G126" s="5" t="s">
        <v>1689</v>
      </c>
      <c r="H126" s="5" t="s">
        <v>1712</v>
      </c>
    </row>
    <row r="127" customFormat="false" ht="15" hidden="false" customHeight="false" outlineLevel="0" collapsed="false">
      <c r="A127" s="5" t="s">
        <v>1309</v>
      </c>
      <c r="B127" s="5" t="s">
        <v>1310</v>
      </c>
      <c r="C127" s="5" t="s">
        <v>1311</v>
      </c>
      <c r="D127" s="5" t="s">
        <v>1312</v>
      </c>
      <c r="E127" s="5" t="s">
        <v>1313</v>
      </c>
      <c r="F127" s="5" t="s">
        <v>1314</v>
      </c>
      <c r="G127" s="5" t="s">
        <v>1315</v>
      </c>
      <c r="H127" s="5" t="s">
        <v>90</v>
      </c>
    </row>
    <row r="128" customFormat="false" ht="15" hidden="false" customHeight="false" outlineLevel="0" collapsed="false">
      <c r="A128" s="5" t="s">
        <v>1713</v>
      </c>
      <c r="B128" s="5" t="s">
        <v>1714</v>
      </c>
      <c r="C128" s="5" t="s">
        <v>1324</v>
      </c>
      <c r="D128" s="5" t="s">
        <v>1325</v>
      </c>
      <c r="E128" s="5" t="s">
        <v>1416</v>
      </c>
      <c r="F128" s="5" t="s">
        <v>1374</v>
      </c>
      <c r="G128" s="5" t="s">
        <v>1672</v>
      </c>
      <c r="H128" s="5" t="n">
        <v>4612.64</v>
      </c>
    </row>
    <row r="129" customFormat="false" ht="15" hidden="false" customHeight="false" outlineLevel="0" collapsed="false">
      <c r="A129" s="5" t="s">
        <v>1715</v>
      </c>
      <c r="B129" s="5" t="s">
        <v>1716</v>
      </c>
      <c r="C129" s="5" t="s">
        <v>1406</v>
      </c>
      <c r="D129" s="5" t="s">
        <v>1717</v>
      </c>
      <c r="E129" s="5" t="s">
        <v>1346</v>
      </c>
      <c r="F129" s="5" t="s">
        <v>1327</v>
      </c>
      <c r="G129" s="5" t="s">
        <v>1655</v>
      </c>
      <c r="H129" s="5" t="s">
        <v>1718</v>
      </c>
    </row>
    <row r="130" customFormat="false" ht="15" hidden="false" customHeight="false" outlineLevel="0" collapsed="false">
      <c r="A130" s="5" t="s">
        <v>1719</v>
      </c>
      <c r="B130" s="5" t="s">
        <v>1720</v>
      </c>
      <c r="C130" s="5" t="s">
        <v>1386</v>
      </c>
      <c r="D130" s="5" t="s">
        <v>1387</v>
      </c>
      <c r="E130" s="5" t="s">
        <v>1408</v>
      </c>
      <c r="F130" s="5" t="s">
        <v>1351</v>
      </c>
      <c r="G130" s="5" t="s">
        <v>1689</v>
      </c>
      <c r="H130" s="5" t="s">
        <v>1721</v>
      </c>
    </row>
    <row r="131" customFormat="false" ht="15" hidden="false" customHeight="false" outlineLevel="0" collapsed="false">
      <c r="A131" s="37" t="n">
        <v>45730</v>
      </c>
      <c r="B131" s="5" t="s">
        <v>1722</v>
      </c>
      <c r="C131" s="5" t="s">
        <v>1356</v>
      </c>
      <c r="D131" s="5" t="s">
        <v>1357</v>
      </c>
      <c r="E131" s="5" t="s">
        <v>1373</v>
      </c>
      <c r="F131" s="5" t="s">
        <v>1374</v>
      </c>
      <c r="G131" s="5" t="s">
        <v>1672</v>
      </c>
      <c r="H131" s="5" t="s">
        <v>1723</v>
      </c>
    </row>
    <row r="132" customFormat="false" ht="15" hidden="false" customHeight="false" outlineLevel="0" collapsed="false">
      <c r="A132" s="5" t="s">
        <v>1724</v>
      </c>
      <c r="B132" s="5" t="s">
        <v>1725</v>
      </c>
      <c r="C132" s="5" t="s">
        <v>1406</v>
      </c>
      <c r="D132" s="5" t="s">
        <v>1407</v>
      </c>
      <c r="E132" s="5" t="s">
        <v>1346</v>
      </c>
      <c r="F132" s="5" t="s">
        <v>1327</v>
      </c>
      <c r="G132" s="5" t="s">
        <v>1655</v>
      </c>
      <c r="H132" s="5" t="s">
        <v>1726</v>
      </c>
    </row>
    <row r="133" customFormat="false" ht="15" hidden="false" customHeight="false" outlineLevel="0" collapsed="false">
      <c r="A133" s="5" t="s">
        <v>1727</v>
      </c>
      <c r="B133" s="5" t="s">
        <v>1728</v>
      </c>
      <c r="C133" s="5" t="s">
        <v>1406</v>
      </c>
      <c r="D133" s="5" t="s">
        <v>1407</v>
      </c>
      <c r="E133" s="5" t="s">
        <v>1468</v>
      </c>
      <c r="F133" s="5" t="s">
        <v>1374</v>
      </c>
      <c r="G133" s="5" t="s">
        <v>1672</v>
      </c>
      <c r="H133" s="5" t="s">
        <v>1729</v>
      </c>
    </row>
    <row r="134" customFormat="false" ht="15" hidden="false" customHeight="false" outlineLevel="0" collapsed="false">
      <c r="A134" s="5" t="s">
        <v>1730</v>
      </c>
      <c r="B134" s="5" t="s">
        <v>1731</v>
      </c>
      <c r="C134" s="5" t="n">
        <v>789</v>
      </c>
      <c r="D134" s="5" t="s">
        <v>1732</v>
      </c>
      <c r="E134" s="5" t="s">
        <v>1408</v>
      </c>
      <c r="F134" s="5" t="s">
        <v>1409</v>
      </c>
      <c r="G134" s="5" t="s">
        <v>1660</v>
      </c>
      <c r="H134" s="5" t="n">
        <v>2728.89</v>
      </c>
    </row>
    <row r="135" customFormat="false" ht="15" hidden="false" customHeight="false" outlineLevel="0" collapsed="false">
      <c r="A135" s="5" t="s">
        <v>1733</v>
      </c>
      <c r="B135" s="5" t="s">
        <v>1734</v>
      </c>
      <c r="C135" s="5" t="s">
        <v>1406</v>
      </c>
      <c r="D135" s="5" t="s">
        <v>1407</v>
      </c>
      <c r="E135" s="5" t="s">
        <v>1350</v>
      </c>
      <c r="F135" s="5" t="s">
        <v>1351</v>
      </c>
      <c r="G135" s="5" t="s">
        <v>1689</v>
      </c>
      <c r="H135" s="5" t="s">
        <v>1735</v>
      </c>
    </row>
    <row r="136" customFormat="false" ht="15" hidden="false" customHeight="false" outlineLevel="0" collapsed="false">
      <c r="A136" s="37" t="n">
        <v>45732</v>
      </c>
      <c r="B136" s="5" t="s">
        <v>1736</v>
      </c>
      <c r="C136" s="5" t="s">
        <v>1406</v>
      </c>
      <c r="D136" s="5" t="s">
        <v>1407</v>
      </c>
      <c r="E136" s="5" t="s">
        <v>1363</v>
      </c>
      <c r="F136" s="5" t="s">
        <v>1341</v>
      </c>
      <c r="G136" s="5" t="s">
        <v>1668</v>
      </c>
      <c r="H136" s="5" t="s">
        <v>1737</v>
      </c>
    </row>
    <row r="137" customFormat="false" ht="15" hidden="false" customHeight="false" outlineLevel="0" collapsed="false">
      <c r="A137" s="5" t="s">
        <v>1738</v>
      </c>
      <c r="B137" s="5" t="s">
        <v>1739</v>
      </c>
      <c r="C137" s="5" t="s">
        <v>1371</v>
      </c>
      <c r="D137" s="5" t="s">
        <v>1372</v>
      </c>
      <c r="E137" s="5" t="s">
        <v>1334</v>
      </c>
      <c r="F137" s="5" t="s">
        <v>1374</v>
      </c>
      <c r="G137" s="5" t="s">
        <v>1672</v>
      </c>
      <c r="H137" s="5" t="s">
        <v>1740</v>
      </c>
    </row>
    <row r="138" customFormat="false" ht="15" hidden="false" customHeight="false" outlineLevel="0" collapsed="false">
      <c r="A138" s="5" t="s">
        <v>1741</v>
      </c>
      <c r="B138" s="5" t="s">
        <v>1742</v>
      </c>
      <c r="C138" s="5" t="s">
        <v>1406</v>
      </c>
      <c r="D138" s="5" t="s">
        <v>1407</v>
      </c>
      <c r="E138" s="5" t="s">
        <v>1346</v>
      </c>
      <c r="F138" s="5" t="s">
        <v>1327</v>
      </c>
      <c r="G138" s="5" t="s">
        <v>1655</v>
      </c>
      <c r="H138" s="5" t="s">
        <v>1743</v>
      </c>
    </row>
    <row r="139" customFormat="false" ht="15" hidden="false" customHeight="false" outlineLevel="0" collapsed="false">
      <c r="A139" s="5" t="s">
        <v>1744</v>
      </c>
      <c r="B139" s="5" t="s">
        <v>1745</v>
      </c>
      <c r="C139" s="5" t="s">
        <v>1371</v>
      </c>
      <c r="D139" s="5" t="s">
        <v>1372</v>
      </c>
      <c r="E139" s="5" t="s">
        <v>1319</v>
      </c>
      <c r="F139" s="5" t="s">
        <v>1320</v>
      </c>
      <c r="G139" s="5" t="s">
        <v>1676</v>
      </c>
      <c r="H139" s="5" t="s">
        <v>1746</v>
      </c>
    </row>
    <row r="140" customFormat="false" ht="15" hidden="false" customHeight="false" outlineLevel="0" collapsed="false">
      <c r="A140" s="5" t="s">
        <v>1747</v>
      </c>
      <c r="B140" s="5" t="s">
        <v>1748</v>
      </c>
      <c r="C140" s="5" t="s">
        <v>1453</v>
      </c>
      <c r="D140" s="5" t="s">
        <v>1522</v>
      </c>
      <c r="E140" s="5" t="s">
        <v>1363</v>
      </c>
      <c r="F140" s="5" t="s">
        <v>1327</v>
      </c>
      <c r="G140" s="5" t="s">
        <v>1655</v>
      </c>
      <c r="H140" s="5" t="n">
        <v>1688.52</v>
      </c>
    </row>
    <row r="141" customFormat="false" ht="15" hidden="false" customHeight="false" outlineLevel="0" collapsed="false">
      <c r="A141" s="37" t="n">
        <v>45736</v>
      </c>
      <c r="B141" s="5" t="s">
        <v>1749</v>
      </c>
      <c r="C141" s="5" t="n">
        <v>3003</v>
      </c>
      <c r="D141" s="5" t="s">
        <v>1372</v>
      </c>
      <c r="E141" s="5" t="s">
        <v>1496</v>
      </c>
      <c r="F141" s="5" t="s">
        <v>1351</v>
      </c>
      <c r="G141" s="5" t="s">
        <v>1689</v>
      </c>
      <c r="H141" s="5" t="s">
        <v>1750</v>
      </c>
    </row>
    <row r="142" customFormat="false" ht="15" hidden="false" customHeight="false" outlineLevel="0" collapsed="false">
      <c r="A142" s="5" t="s">
        <v>1751</v>
      </c>
      <c r="B142" s="5" t="s">
        <v>1752</v>
      </c>
      <c r="C142" s="5" t="s">
        <v>1386</v>
      </c>
      <c r="D142" s="5" t="s">
        <v>1387</v>
      </c>
      <c r="E142" s="5" t="s">
        <v>1373</v>
      </c>
      <c r="F142" s="5" t="s">
        <v>1335</v>
      </c>
      <c r="G142" s="5" t="s">
        <v>1664</v>
      </c>
      <c r="H142" s="5" t="s">
        <v>1753</v>
      </c>
    </row>
    <row r="143" customFormat="false" ht="15" hidden="false" customHeight="false" outlineLevel="0" collapsed="false">
      <c r="A143" s="5" t="s">
        <v>1754</v>
      </c>
      <c r="B143" s="5" t="s">
        <v>1755</v>
      </c>
      <c r="C143" s="5" t="s">
        <v>1356</v>
      </c>
      <c r="D143" s="5" t="s">
        <v>1756</v>
      </c>
      <c r="E143" s="5" t="s">
        <v>1346</v>
      </c>
      <c r="F143" s="5" t="s">
        <v>1327</v>
      </c>
      <c r="G143" s="5" t="s">
        <v>1655</v>
      </c>
      <c r="H143" s="5" t="s">
        <v>1757</v>
      </c>
    </row>
    <row r="144" customFormat="false" ht="15" hidden="false" customHeight="false" outlineLevel="0" collapsed="false">
      <c r="A144" s="5" t="s">
        <v>1758</v>
      </c>
      <c r="B144" s="5" t="s">
        <v>1759</v>
      </c>
      <c r="C144" s="5" t="s">
        <v>1339</v>
      </c>
      <c r="D144" s="5" t="s">
        <v>1340</v>
      </c>
      <c r="E144" s="5" t="s">
        <v>1373</v>
      </c>
      <c r="F144" s="5" t="s">
        <v>1374</v>
      </c>
      <c r="G144" s="5" t="s">
        <v>1672</v>
      </c>
      <c r="H144" s="5" t="s">
        <v>1760</v>
      </c>
    </row>
    <row r="145" customFormat="false" ht="15" hidden="false" customHeight="false" outlineLevel="0" collapsed="false">
      <c r="A145" s="5" t="s">
        <v>1761</v>
      </c>
      <c r="B145" s="5" t="s">
        <v>1762</v>
      </c>
      <c r="C145" s="5" t="s">
        <v>1386</v>
      </c>
      <c r="D145" s="5" t="s">
        <v>1387</v>
      </c>
      <c r="E145" s="5" t="s">
        <v>1408</v>
      </c>
      <c r="F145" s="5" t="s">
        <v>1409</v>
      </c>
      <c r="G145" s="5" t="s">
        <v>1660</v>
      </c>
      <c r="H145" s="5" t="s">
        <v>1763</v>
      </c>
    </row>
    <row r="146" customFormat="false" ht="15" hidden="false" customHeight="false" outlineLevel="0" collapsed="false">
      <c r="A146" s="37" t="n">
        <v>45741</v>
      </c>
      <c r="B146" s="5" t="s">
        <v>1764</v>
      </c>
      <c r="C146" s="5" t="s">
        <v>1339</v>
      </c>
      <c r="D146" s="5" t="s">
        <v>1340</v>
      </c>
      <c r="E146" s="5" t="s">
        <v>1319</v>
      </c>
      <c r="F146" s="5" t="s">
        <v>1431</v>
      </c>
      <c r="G146" s="5" t="s">
        <v>1679</v>
      </c>
      <c r="H146" s="5" t="n">
        <v>1543.15</v>
      </c>
    </row>
    <row r="147" customFormat="false" ht="15" hidden="false" customHeight="false" outlineLevel="0" collapsed="false">
      <c r="A147" s="5" t="s">
        <v>1765</v>
      </c>
      <c r="B147" s="5" t="s">
        <v>1766</v>
      </c>
      <c r="C147" s="5" t="s">
        <v>1383</v>
      </c>
      <c r="D147" s="5" t="s">
        <v>1384</v>
      </c>
      <c r="E147" s="5" t="s">
        <v>1350</v>
      </c>
      <c r="F147" s="5" t="s">
        <v>1409</v>
      </c>
      <c r="G147" s="5" t="s">
        <v>1660</v>
      </c>
      <c r="H147" s="5" t="s">
        <v>1767</v>
      </c>
    </row>
    <row r="148" customFormat="false" ht="15" hidden="false" customHeight="false" outlineLevel="0" collapsed="false">
      <c r="A148" s="5" t="s">
        <v>1768</v>
      </c>
      <c r="B148" s="5" t="s">
        <v>1769</v>
      </c>
      <c r="C148" s="5" t="n">
        <v>456</v>
      </c>
      <c r="D148" s="5" t="s">
        <v>1333</v>
      </c>
      <c r="E148" s="5" t="s">
        <v>1468</v>
      </c>
      <c r="F148" s="5" t="s">
        <v>1374</v>
      </c>
      <c r="G148" s="5" t="s">
        <v>1672</v>
      </c>
      <c r="H148" s="5" t="s">
        <v>1770</v>
      </c>
    </row>
    <row r="149" customFormat="false" ht="15" hidden="false" customHeight="false" outlineLevel="0" collapsed="false">
      <c r="A149" s="5" t="s">
        <v>1771</v>
      </c>
      <c r="B149" s="5" t="s">
        <v>1772</v>
      </c>
      <c r="C149" s="5" t="s">
        <v>1453</v>
      </c>
      <c r="D149" s="5" t="s">
        <v>1360</v>
      </c>
      <c r="E149" s="5" t="s">
        <v>1424</v>
      </c>
      <c r="F149" s="5" t="s">
        <v>1431</v>
      </c>
      <c r="G149" s="5" t="s">
        <v>1679</v>
      </c>
      <c r="H149" s="5" t="s">
        <v>1773</v>
      </c>
    </row>
    <row r="150" customFormat="false" ht="15" hidden="false" customHeight="false" outlineLevel="0" collapsed="false">
      <c r="A150" s="5" t="s">
        <v>1774</v>
      </c>
      <c r="B150" s="5" t="s">
        <v>1775</v>
      </c>
      <c r="C150" s="5" t="s">
        <v>1332</v>
      </c>
      <c r="D150" s="5" t="s">
        <v>1333</v>
      </c>
      <c r="E150" s="5" t="s">
        <v>1416</v>
      </c>
      <c r="F150" s="5" t="s">
        <v>1374</v>
      </c>
      <c r="G150" s="5" t="s">
        <v>1672</v>
      </c>
      <c r="H150" s="5" t="s">
        <v>1776</v>
      </c>
    </row>
    <row r="151" customFormat="false" ht="15" hidden="false" customHeight="false" outlineLevel="0" collapsed="false">
      <c r="A151" s="37" t="n">
        <v>45743</v>
      </c>
      <c r="B151" s="5" t="s">
        <v>1777</v>
      </c>
      <c r="C151" s="5" t="s">
        <v>1406</v>
      </c>
      <c r="D151" s="5" t="s">
        <v>1717</v>
      </c>
      <c r="E151" s="5" t="s">
        <v>1319</v>
      </c>
      <c r="F151" s="5" t="s">
        <v>1320</v>
      </c>
      <c r="G151" s="5" t="s">
        <v>1676</v>
      </c>
      <c r="H151" s="5" t="s">
        <v>1778</v>
      </c>
    </row>
    <row r="152" customFormat="false" ht="15" hidden="false" customHeight="false" outlineLevel="0" collapsed="false">
      <c r="A152" s="5" t="s">
        <v>1779</v>
      </c>
      <c r="B152" s="5" t="s">
        <v>1780</v>
      </c>
      <c r="C152" s="5" t="s">
        <v>1324</v>
      </c>
      <c r="D152" s="5" t="s">
        <v>1413</v>
      </c>
      <c r="E152" s="5" t="s">
        <v>1319</v>
      </c>
      <c r="F152" s="5" t="s">
        <v>1320</v>
      </c>
      <c r="G152" s="5" t="s">
        <v>1676</v>
      </c>
      <c r="H152" s="5" t="n">
        <v>2924.81</v>
      </c>
    </row>
    <row r="153" customFormat="false" ht="15" hidden="false" customHeight="false" outlineLevel="0" collapsed="false">
      <c r="A153" s="5" t="s">
        <v>1781</v>
      </c>
      <c r="B153" s="5" t="s">
        <v>1782</v>
      </c>
      <c r="C153" s="5" t="s">
        <v>1332</v>
      </c>
      <c r="D153" s="5" t="s">
        <v>1333</v>
      </c>
      <c r="E153" s="5" t="s">
        <v>1427</v>
      </c>
      <c r="F153" s="5" t="s">
        <v>1320</v>
      </c>
      <c r="G153" s="5" t="s">
        <v>1676</v>
      </c>
      <c r="H153" s="5" t="s">
        <v>1783</v>
      </c>
    </row>
    <row r="154" customFormat="false" ht="15" hidden="false" customHeight="false" outlineLevel="0" collapsed="false">
      <c r="A154" s="5" t="s">
        <v>1784</v>
      </c>
      <c r="B154" s="5"/>
      <c r="C154" s="5"/>
      <c r="D154" s="5"/>
      <c r="E154" s="5"/>
      <c r="F154" s="5"/>
      <c r="G154" s="5"/>
      <c r="H154" s="5" t="s">
        <v>1785</v>
      </c>
    </row>
    <row r="155" customFormat="false" ht="15" hidden="false" customHeight="false" outlineLevel="0" collapsed="false">
      <c r="A155" s="5" t="s">
        <v>1786</v>
      </c>
      <c r="B155" s="5" t="s">
        <v>1787</v>
      </c>
      <c r="C155" s="5" t="s">
        <v>1332</v>
      </c>
      <c r="D155" s="5" t="s">
        <v>1333</v>
      </c>
      <c r="E155" s="5" t="s">
        <v>1350</v>
      </c>
      <c r="F155" s="5" t="s">
        <v>1351</v>
      </c>
      <c r="G155" s="5" t="s">
        <v>1788</v>
      </c>
      <c r="H155" s="5" t="s">
        <v>1789</v>
      </c>
    </row>
    <row r="156" customFormat="false" ht="15" hidden="false" customHeight="false" outlineLevel="0" collapsed="false">
      <c r="A156" s="5" t="s">
        <v>1790</v>
      </c>
      <c r="B156" s="5" t="s">
        <v>1791</v>
      </c>
      <c r="C156" s="5" t="n">
        <v>789</v>
      </c>
      <c r="D156" s="5" t="s">
        <v>1407</v>
      </c>
      <c r="E156" s="5" t="s">
        <v>1346</v>
      </c>
      <c r="F156" s="5" t="s">
        <v>1341</v>
      </c>
      <c r="G156" s="5" t="s">
        <v>1792</v>
      </c>
      <c r="H156" s="5" t="s">
        <v>1793</v>
      </c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</row>
    <row r="158" customFormat="false" ht="15" hidden="false" customHeight="false" outlineLevel="0" collapsed="false">
      <c r="A158" s="37" t="n">
        <v>45751</v>
      </c>
      <c r="B158" s="5" t="s">
        <v>1794</v>
      </c>
      <c r="C158" s="5" t="s">
        <v>1453</v>
      </c>
      <c r="D158" s="5" t="s">
        <v>1360</v>
      </c>
      <c r="E158" s="5" t="s">
        <v>1427</v>
      </c>
      <c r="F158" s="5" t="s">
        <v>1431</v>
      </c>
      <c r="G158" s="5" t="s">
        <v>1795</v>
      </c>
      <c r="H158" s="5" t="s">
        <v>1796</v>
      </c>
    </row>
    <row r="159" customFormat="false" ht="15" hidden="false" customHeight="false" outlineLevel="0" collapsed="false">
      <c r="A159" s="5" t="s">
        <v>1797</v>
      </c>
      <c r="B159" s="5" t="s">
        <v>1798</v>
      </c>
      <c r="C159" s="5" t="s">
        <v>1371</v>
      </c>
      <c r="D159" s="5" t="s">
        <v>1372</v>
      </c>
      <c r="E159" s="5" t="s">
        <v>1416</v>
      </c>
      <c r="F159" s="5" t="s">
        <v>1374</v>
      </c>
      <c r="G159" s="5" t="s">
        <v>1799</v>
      </c>
      <c r="H159" s="5" t="s">
        <v>1800</v>
      </c>
    </row>
    <row r="160" customFormat="false" ht="15" hidden="false" customHeight="false" outlineLevel="0" collapsed="false">
      <c r="A160" s="5" t="s">
        <v>1801</v>
      </c>
      <c r="B160" s="5" t="s">
        <v>1802</v>
      </c>
      <c r="C160" s="5" t="s">
        <v>1324</v>
      </c>
      <c r="D160" s="5" t="s">
        <v>1325</v>
      </c>
      <c r="E160" s="5" t="s">
        <v>1346</v>
      </c>
      <c r="F160" s="5" t="s">
        <v>1341</v>
      </c>
      <c r="G160" s="5" t="s">
        <v>1792</v>
      </c>
      <c r="H160" s="5" t="n">
        <v>2247.51</v>
      </c>
    </row>
    <row r="161" customFormat="false" ht="15" hidden="false" customHeight="false" outlineLevel="0" collapsed="false">
      <c r="A161" s="5" t="s">
        <v>1803</v>
      </c>
      <c r="B161" s="5" t="s">
        <v>1804</v>
      </c>
      <c r="C161" s="5" t="s">
        <v>1406</v>
      </c>
      <c r="D161" s="5" t="s">
        <v>1407</v>
      </c>
      <c r="E161" s="5" t="s">
        <v>1350</v>
      </c>
      <c r="F161" s="5" t="s">
        <v>1351</v>
      </c>
      <c r="G161" s="5" t="s">
        <v>1788</v>
      </c>
      <c r="H161" s="5" t="s">
        <v>1805</v>
      </c>
    </row>
    <row r="162" customFormat="false" ht="15" hidden="false" customHeight="false" outlineLevel="0" collapsed="false">
      <c r="A162" s="5" t="s">
        <v>1806</v>
      </c>
      <c r="B162" s="5" t="s">
        <v>1807</v>
      </c>
      <c r="C162" s="5" t="s">
        <v>1386</v>
      </c>
      <c r="D162" s="5" t="s">
        <v>1387</v>
      </c>
      <c r="E162" s="5" t="s">
        <v>1346</v>
      </c>
      <c r="F162" s="5" t="s">
        <v>1327</v>
      </c>
      <c r="G162" s="5" t="s">
        <v>1808</v>
      </c>
      <c r="H162" s="5" t="s">
        <v>1809</v>
      </c>
    </row>
    <row r="163" customFormat="false" ht="15" hidden="false" customHeight="false" outlineLevel="0" collapsed="false">
      <c r="A163" s="37" t="n">
        <v>45753</v>
      </c>
      <c r="B163" s="5" t="s">
        <v>1810</v>
      </c>
      <c r="C163" s="5" t="s">
        <v>1453</v>
      </c>
      <c r="D163" s="5" t="s">
        <v>1601</v>
      </c>
      <c r="E163" s="5" t="s">
        <v>1346</v>
      </c>
      <c r="F163" s="5" t="s">
        <v>1327</v>
      </c>
      <c r="G163" s="5" t="s">
        <v>1808</v>
      </c>
      <c r="H163" s="5" t="s">
        <v>1811</v>
      </c>
    </row>
    <row r="164" customFormat="false" ht="15" hidden="false" customHeight="false" outlineLevel="0" collapsed="false">
      <c r="A164" s="5" t="s">
        <v>1812</v>
      </c>
      <c r="B164" s="5" t="s">
        <v>1813</v>
      </c>
      <c r="C164" s="5" t="n">
        <v>789</v>
      </c>
      <c r="D164" s="5" t="s">
        <v>1717</v>
      </c>
      <c r="E164" s="5" t="s">
        <v>1363</v>
      </c>
      <c r="F164" s="5" t="s">
        <v>1327</v>
      </c>
      <c r="G164" s="5" t="s">
        <v>1808</v>
      </c>
      <c r="H164" s="5" t="s">
        <v>1814</v>
      </c>
    </row>
    <row r="165" customFormat="false" ht="15" hidden="false" customHeight="false" outlineLevel="0" collapsed="false">
      <c r="A165" s="5" t="s">
        <v>1815</v>
      </c>
      <c r="B165" s="5" t="s">
        <v>1816</v>
      </c>
      <c r="C165" s="5" t="s">
        <v>1406</v>
      </c>
      <c r="D165" s="5" t="s">
        <v>1407</v>
      </c>
      <c r="E165" s="5" t="s">
        <v>1496</v>
      </c>
      <c r="F165" s="5" t="s">
        <v>1409</v>
      </c>
      <c r="G165" s="5" t="s">
        <v>1817</v>
      </c>
      <c r="H165" s="5" t="s">
        <v>1818</v>
      </c>
    </row>
    <row r="166" customFormat="false" ht="15" hidden="false" customHeight="false" outlineLevel="0" collapsed="false">
      <c r="A166" s="5" t="s">
        <v>1819</v>
      </c>
      <c r="B166" s="5" t="s">
        <v>1820</v>
      </c>
      <c r="C166" s="5" t="s">
        <v>1453</v>
      </c>
      <c r="D166" s="5" t="s">
        <v>1360</v>
      </c>
      <c r="E166" s="5" t="s">
        <v>1496</v>
      </c>
      <c r="F166" s="5" t="s">
        <v>1351</v>
      </c>
      <c r="G166" s="5" t="s">
        <v>1788</v>
      </c>
      <c r="H166" s="5" t="n">
        <v>1074.99</v>
      </c>
    </row>
    <row r="167" customFormat="false" ht="15" hidden="false" customHeight="false" outlineLevel="0" collapsed="false">
      <c r="A167" s="5" t="s">
        <v>1821</v>
      </c>
      <c r="B167" s="5" t="s">
        <v>1822</v>
      </c>
      <c r="C167" s="5" t="s">
        <v>1383</v>
      </c>
      <c r="D167" s="5" t="s">
        <v>1384</v>
      </c>
      <c r="E167" s="5" t="s">
        <v>1319</v>
      </c>
      <c r="F167" s="5" t="s">
        <v>1431</v>
      </c>
      <c r="G167" s="5" t="s">
        <v>1795</v>
      </c>
      <c r="H167" s="5" t="s">
        <v>1823</v>
      </c>
    </row>
    <row r="168" customFormat="false" ht="15" hidden="false" customHeight="false" outlineLevel="0" collapsed="false">
      <c r="A168" s="37" t="n">
        <v>45755</v>
      </c>
      <c r="B168" s="5" t="s">
        <v>1824</v>
      </c>
      <c r="C168" s="5" t="s">
        <v>1406</v>
      </c>
      <c r="D168" s="5" t="s">
        <v>1407</v>
      </c>
      <c r="E168" s="5" t="s">
        <v>1373</v>
      </c>
      <c r="F168" s="5" t="s">
        <v>1374</v>
      </c>
      <c r="G168" s="5" t="s">
        <v>1799</v>
      </c>
      <c r="H168" s="5" t="s">
        <v>1825</v>
      </c>
    </row>
    <row r="169" customFormat="false" ht="15" hidden="false" customHeight="false" outlineLevel="0" collapsed="false">
      <c r="A169" s="5" t="s">
        <v>1826</v>
      </c>
      <c r="B169" s="5" t="s">
        <v>1827</v>
      </c>
      <c r="C169" s="5" t="s">
        <v>1332</v>
      </c>
      <c r="D169" s="5" t="s">
        <v>1333</v>
      </c>
      <c r="E169" s="5" t="s">
        <v>1350</v>
      </c>
      <c r="F169" s="5" t="s">
        <v>1351</v>
      </c>
      <c r="G169" s="5" t="s">
        <v>1788</v>
      </c>
      <c r="H169" s="5" t="s">
        <v>1828</v>
      </c>
    </row>
    <row r="170" customFormat="false" ht="15" hidden="false" customHeight="false" outlineLevel="0" collapsed="false">
      <c r="A170" s="5" t="s">
        <v>1829</v>
      </c>
      <c r="B170" s="5" t="s">
        <v>1830</v>
      </c>
      <c r="C170" s="5" t="s">
        <v>1371</v>
      </c>
      <c r="D170" s="5" t="s">
        <v>1372</v>
      </c>
      <c r="E170" s="5" t="s">
        <v>1450</v>
      </c>
      <c r="F170" s="5" t="s">
        <v>1389</v>
      </c>
      <c r="G170" s="5" t="s">
        <v>1831</v>
      </c>
      <c r="H170" s="5" t="s">
        <v>1832</v>
      </c>
    </row>
    <row r="171" customFormat="false" ht="15" hidden="false" customHeight="false" outlineLevel="0" collapsed="false">
      <c r="A171" s="5" t="s">
        <v>1833</v>
      </c>
      <c r="B171" s="5" t="s">
        <v>1834</v>
      </c>
      <c r="C171" s="5" t="n">
        <v>2020</v>
      </c>
      <c r="D171" s="5" t="s">
        <v>1387</v>
      </c>
      <c r="E171" s="5" t="s">
        <v>1350</v>
      </c>
      <c r="F171" s="5" t="s">
        <v>1409</v>
      </c>
      <c r="G171" s="5" t="s">
        <v>1817</v>
      </c>
      <c r="H171" s="5" t="s">
        <v>1835</v>
      </c>
    </row>
    <row r="172" customFormat="false" ht="15" hidden="false" customHeight="false" outlineLevel="0" collapsed="false">
      <c r="A172" s="5" t="s">
        <v>1836</v>
      </c>
      <c r="B172" s="5" t="s">
        <v>1837</v>
      </c>
      <c r="C172" s="5" t="s">
        <v>1453</v>
      </c>
      <c r="D172" s="5" t="s">
        <v>1601</v>
      </c>
      <c r="E172" s="5" t="s">
        <v>1334</v>
      </c>
      <c r="F172" s="5" t="s">
        <v>1335</v>
      </c>
      <c r="G172" s="5" t="s">
        <v>1838</v>
      </c>
      <c r="H172" s="5" t="n">
        <v>5183.62</v>
      </c>
    </row>
    <row r="173" customFormat="false" ht="15" hidden="false" customHeight="false" outlineLevel="0" collapsed="false">
      <c r="A173" s="37" t="n">
        <v>45757</v>
      </c>
      <c r="B173" s="5" t="s">
        <v>1839</v>
      </c>
      <c r="C173" s="5" t="s">
        <v>1453</v>
      </c>
      <c r="D173" s="5" t="s">
        <v>1360</v>
      </c>
      <c r="E173" s="5" t="s">
        <v>1319</v>
      </c>
      <c r="F173" s="5" t="s">
        <v>1431</v>
      </c>
      <c r="G173" s="5" t="s">
        <v>1795</v>
      </c>
      <c r="H173" s="5" t="s">
        <v>1840</v>
      </c>
    </row>
    <row r="174" customFormat="false" ht="15" hidden="false" customHeight="false" outlineLevel="0" collapsed="false">
      <c r="A174" s="5" t="s">
        <v>1841</v>
      </c>
      <c r="B174" s="5" t="s">
        <v>1842</v>
      </c>
      <c r="C174" s="5" t="s">
        <v>1332</v>
      </c>
      <c r="D174" s="5" t="s">
        <v>1333</v>
      </c>
      <c r="E174" s="5" t="s">
        <v>1416</v>
      </c>
      <c r="F174" s="5" t="s">
        <v>1374</v>
      </c>
      <c r="G174" s="5" t="s">
        <v>1799</v>
      </c>
      <c r="H174" s="5" t="s">
        <v>1843</v>
      </c>
    </row>
    <row r="175" customFormat="false" ht="15" hidden="false" customHeight="false" outlineLevel="0" collapsed="false">
      <c r="A175" s="5" t="s">
        <v>1844</v>
      </c>
      <c r="B175" s="5" t="s">
        <v>1845</v>
      </c>
      <c r="C175" s="5" t="s">
        <v>1332</v>
      </c>
      <c r="D175" s="5" t="s">
        <v>1685</v>
      </c>
      <c r="E175" s="5" t="s">
        <v>1326</v>
      </c>
      <c r="F175" s="5" t="s">
        <v>1327</v>
      </c>
      <c r="G175" s="5" t="s">
        <v>1808</v>
      </c>
      <c r="H175" s="5" t="s">
        <v>1846</v>
      </c>
    </row>
    <row r="176" customFormat="false" ht="15" hidden="false" customHeight="false" outlineLevel="0" collapsed="false">
      <c r="A176" s="5" t="s">
        <v>1847</v>
      </c>
      <c r="B176" s="5" t="s">
        <v>1848</v>
      </c>
      <c r="C176" s="5" t="s">
        <v>1356</v>
      </c>
      <c r="D176" s="5" t="s">
        <v>1357</v>
      </c>
      <c r="E176" s="5" t="s">
        <v>1468</v>
      </c>
      <c r="F176" s="5" t="s">
        <v>1335</v>
      </c>
      <c r="G176" s="5" t="s">
        <v>1838</v>
      </c>
      <c r="H176" s="5" t="s">
        <v>1849</v>
      </c>
    </row>
    <row r="177" customFormat="false" ht="15" hidden="false" customHeight="false" outlineLevel="0" collapsed="false">
      <c r="A177" s="5" t="s">
        <v>1850</v>
      </c>
      <c r="B177" s="5" t="s">
        <v>1851</v>
      </c>
      <c r="C177" s="5" t="s">
        <v>1371</v>
      </c>
      <c r="D177" s="5" t="s">
        <v>1372</v>
      </c>
      <c r="E177" s="5" t="s">
        <v>1334</v>
      </c>
      <c r="F177" s="5" t="s">
        <v>1374</v>
      </c>
      <c r="G177" s="5" t="s">
        <v>1799</v>
      </c>
      <c r="H177" s="5" t="s">
        <v>1852</v>
      </c>
    </row>
    <row r="178" customFormat="false" ht="15" hidden="false" customHeight="false" outlineLevel="0" collapsed="false">
      <c r="A178" s="37" t="n">
        <v>45761</v>
      </c>
      <c r="B178" s="5" t="s">
        <v>1853</v>
      </c>
      <c r="C178" s="5" t="n">
        <v>789</v>
      </c>
      <c r="D178" s="5" t="s">
        <v>1407</v>
      </c>
      <c r="E178" s="5" t="s">
        <v>1427</v>
      </c>
      <c r="F178" s="5" t="s">
        <v>1431</v>
      </c>
      <c r="G178" s="5" t="s">
        <v>1795</v>
      </c>
      <c r="H178" s="5" t="n">
        <v>508.59</v>
      </c>
    </row>
    <row r="179" customFormat="false" ht="15" hidden="false" customHeight="false" outlineLevel="0" collapsed="false">
      <c r="A179" s="5" t="s">
        <v>1854</v>
      </c>
      <c r="B179" s="5" t="s">
        <v>1855</v>
      </c>
      <c r="C179" s="5" t="s">
        <v>1453</v>
      </c>
      <c r="D179" s="5" t="s">
        <v>1360</v>
      </c>
      <c r="E179" s="5" t="s">
        <v>1468</v>
      </c>
      <c r="F179" s="5" t="s">
        <v>1335</v>
      </c>
      <c r="G179" s="5" t="s">
        <v>1838</v>
      </c>
      <c r="H179" s="5" t="s">
        <v>1856</v>
      </c>
    </row>
    <row r="180" customFormat="false" ht="15" hidden="false" customHeight="false" outlineLevel="0" collapsed="false">
      <c r="A180" s="5" t="s">
        <v>1857</v>
      </c>
      <c r="B180" s="5" t="s">
        <v>1858</v>
      </c>
      <c r="C180" s="5" t="s">
        <v>1339</v>
      </c>
      <c r="D180" s="5" t="s">
        <v>1340</v>
      </c>
      <c r="E180" s="5" t="s">
        <v>1416</v>
      </c>
      <c r="F180" s="5" t="s">
        <v>1335</v>
      </c>
      <c r="G180" s="5" t="s">
        <v>1838</v>
      </c>
      <c r="H180" s="5" t="s">
        <v>1859</v>
      </c>
    </row>
    <row r="181" customFormat="false" ht="15" hidden="false" customHeight="false" outlineLevel="0" collapsed="false">
      <c r="A181" s="5" t="s">
        <v>1860</v>
      </c>
      <c r="B181" s="5" t="s">
        <v>1861</v>
      </c>
      <c r="C181" s="5" t="s">
        <v>1406</v>
      </c>
      <c r="D181" s="5" t="s">
        <v>1732</v>
      </c>
      <c r="E181" s="5" t="s">
        <v>1326</v>
      </c>
      <c r="F181" s="5" t="s">
        <v>1327</v>
      </c>
      <c r="G181" s="5" t="s">
        <v>1808</v>
      </c>
      <c r="H181" s="5" t="s">
        <v>1862</v>
      </c>
    </row>
    <row r="182" customFormat="false" ht="15" hidden="false" customHeight="false" outlineLevel="0" collapsed="false">
      <c r="A182" s="5" t="s">
        <v>1863</v>
      </c>
      <c r="B182" s="5" t="s">
        <v>1864</v>
      </c>
      <c r="C182" s="5" t="s">
        <v>1406</v>
      </c>
      <c r="D182" s="5" t="s">
        <v>1407</v>
      </c>
      <c r="E182" s="5" t="s">
        <v>1450</v>
      </c>
      <c r="F182" s="5" t="s">
        <v>1401</v>
      </c>
      <c r="G182" s="5" t="s">
        <v>1865</v>
      </c>
      <c r="H182" s="5" t="s">
        <v>1866</v>
      </c>
    </row>
    <row r="183" customFormat="false" ht="15" hidden="false" customHeight="false" outlineLevel="0" collapsed="false">
      <c r="A183" s="37" t="n">
        <v>45766</v>
      </c>
      <c r="B183" s="5" t="s">
        <v>1867</v>
      </c>
      <c r="C183" s="5" t="s">
        <v>1339</v>
      </c>
      <c r="D183" s="5" t="s">
        <v>1340</v>
      </c>
      <c r="E183" s="5" t="s">
        <v>1408</v>
      </c>
      <c r="F183" s="5" t="s">
        <v>1409</v>
      </c>
      <c r="G183" s="5" t="s">
        <v>1817</v>
      </c>
      <c r="H183" s="5" t="s">
        <v>1868</v>
      </c>
    </row>
    <row r="184" customFormat="false" ht="15" hidden="false" customHeight="false" outlineLevel="0" collapsed="false">
      <c r="A184" s="5" t="s">
        <v>1869</v>
      </c>
      <c r="B184" s="5" t="s">
        <v>1870</v>
      </c>
      <c r="C184" s="5" t="s">
        <v>1453</v>
      </c>
      <c r="D184" s="5" t="s">
        <v>1360</v>
      </c>
      <c r="E184" s="5" t="s">
        <v>1319</v>
      </c>
      <c r="F184" s="5" t="s">
        <v>1431</v>
      </c>
      <c r="G184" s="5" t="s">
        <v>1795</v>
      </c>
      <c r="H184" s="5" t="n">
        <v>1167.17</v>
      </c>
    </row>
    <row r="185" customFormat="false" ht="15" hidden="false" customHeight="false" outlineLevel="0" collapsed="false">
      <c r="A185" s="5" t="s">
        <v>1871</v>
      </c>
      <c r="B185" s="5" t="s">
        <v>1872</v>
      </c>
      <c r="C185" s="5" t="n">
        <v>1011</v>
      </c>
      <c r="D185" s="5" t="s">
        <v>1325</v>
      </c>
      <c r="E185" s="5" t="s">
        <v>1350</v>
      </c>
      <c r="F185" s="5" t="s">
        <v>1409</v>
      </c>
      <c r="G185" s="5" t="s">
        <v>1817</v>
      </c>
      <c r="H185" s="5" t="s">
        <v>1873</v>
      </c>
    </row>
    <row r="186" customFormat="false" ht="15" hidden="false" customHeight="false" outlineLevel="0" collapsed="false">
      <c r="A186" s="5" t="s">
        <v>1874</v>
      </c>
      <c r="B186" s="5" t="s">
        <v>1875</v>
      </c>
      <c r="C186" s="5" t="s">
        <v>1371</v>
      </c>
      <c r="D186" s="5" t="s">
        <v>1876</v>
      </c>
      <c r="E186" s="5" t="s">
        <v>1346</v>
      </c>
      <c r="F186" s="5" t="s">
        <v>1341</v>
      </c>
      <c r="G186" s="5" t="s">
        <v>1792</v>
      </c>
      <c r="H186" s="5" t="s">
        <v>1877</v>
      </c>
    </row>
    <row r="187" customFormat="false" ht="15" hidden="false" customHeight="false" outlineLevel="0" collapsed="false">
      <c r="A187" s="5" t="s">
        <v>1878</v>
      </c>
      <c r="B187" s="5" t="s">
        <v>1879</v>
      </c>
      <c r="C187" s="5" t="s">
        <v>1356</v>
      </c>
      <c r="D187" s="5" t="s">
        <v>1357</v>
      </c>
      <c r="E187" s="5" t="s">
        <v>1427</v>
      </c>
      <c r="F187" s="5" t="s">
        <v>1431</v>
      </c>
      <c r="G187" s="5" t="s">
        <v>1795</v>
      </c>
      <c r="H187" s="5" t="s">
        <v>1880</v>
      </c>
    </row>
    <row r="188" customFormat="false" ht="15" hidden="false" customHeight="false" outlineLevel="0" collapsed="false">
      <c r="A188" s="37" t="n">
        <v>45769</v>
      </c>
      <c r="B188" s="5" t="s">
        <v>1881</v>
      </c>
      <c r="C188" s="5" t="s">
        <v>1406</v>
      </c>
      <c r="D188" s="5" t="s">
        <v>1407</v>
      </c>
      <c r="E188" s="5" t="s">
        <v>1373</v>
      </c>
      <c r="F188" s="5" t="s">
        <v>1374</v>
      </c>
      <c r="G188" s="5" t="s">
        <v>1799</v>
      </c>
      <c r="H188" s="5" t="s">
        <v>1882</v>
      </c>
    </row>
    <row r="189" customFormat="false" ht="15" hidden="false" customHeight="false" outlineLevel="0" collapsed="false">
      <c r="A189" s="5" t="s">
        <v>1883</v>
      </c>
      <c r="B189" s="5" t="s">
        <v>1884</v>
      </c>
      <c r="C189" s="5" t="s">
        <v>1332</v>
      </c>
      <c r="D189" s="5" t="s">
        <v>1333</v>
      </c>
      <c r="E189" s="5" t="s">
        <v>1319</v>
      </c>
      <c r="F189" s="5" t="s">
        <v>1431</v>
      </c>
      <c r="G189" s="5" t="s">
        <v>1795</v>
      </c>
      <c r="H189" s="5" t="s">
        <v>1885</v>
      </c>
    </row>
    <row r="190" customFormat="false" ht="15" hidden="false" customHeight="false" outlineLevel="0" collapsed="false">
      <c r="A190" s="5" t="s">
        <v>1309</v>
      </c>
      <c r="B190" s="5" t="s">
        <v>1310</v>
      </c>
      <c r="C190" s="5" t="s">
        <v>1311</v>
      </c>
      <c r="D190" s="5" t="s">
        <v>1312</v>
      </c>
      <c r="E190" s="5" t="s">
        <v>1313</v>
      </c>
      <c r="F190" s="5" t="s">
        <v>1314</v>
      </c>
      <c r="G190" s="5" t="s">
        <v>1315</v>
      </c>
      <c r="H190" s="5" t="s">
        <v>90</v>
      </c>
    </row>
    <row r="191" customFormat="false" ht="15" hidden="false" customHeight="false" outlineLevel="0" collapsed="false">
      <c r="A191" s="5" t="s">
        <v>1886</v>
      </c>
      <c r="B191" s="5" t="s">
        <v>1887</v>
      </c>
      <c r="C191" s="5" t="s">
        <v>1453</v>
      </c>
      <c r="D191" s="5" t="s">
        <v>1601</v>
      </c>
      <c r="E191" s="5" t="s">
        <v>1334</v>
      </c>
      <c r="F191" s="5" t="s">
        <v>1335</v>
      </c>
      <c r="G191" s="5" t="s">
        <v>1838</v>
      </c>
      <c r="H191" s="5" t="n">
        <v>-195.68</v>
      </c>
    </row>
    <row r="192" customFormat="false" ht="15" hidden="false" customHeight="false" outlineLevel="0" collapsed="false">
      <c r="A192" s="5" t="s">
        <v>1888</v>
      </c>
      <c r="B192" s="5" t="s">
        <v>1889</v>
      </c>
      <c r="C192" s="5" t="s">
        <v>1324</v>
      </c>
      <c r="D192" s="5" t="s">
        <v>1325</v>
      </c>
      <c r="E192" s="5" t="s">
        <v>1326</v>
      </c>
      <c r="F192" s="5" t="s">
        <v>1341</v>
      </c>
      <c r="G192" s="5" t="s">
        <v>1792</v>
      </c>
      <c r="H192" s="5" t="s">
        <v>1890</v>
      </c>
    </row>
    <row r="193" customFormat="false" ht="15" hidden="false" customHeight="false" outlineLevel="0" collapsed="false">
      <c r="A193" s="5" t="s">
        <v>1891</v>
      </c>
      <c r="B193" s="5" t="s">
        <v>1892</v>
      </c>
      <c r="C193" s="5" t="n">
        <v>2020</v>
      </c>
      <c r="D193" s="5" t="s">
        <v>1387</v>
      </c>
      <c r="E193" s="5" t="s">
        <v>1350</v>
      </c>
      <c r="F193" s="5" t="s">
        <v>1351</v>
      </c>
      <c r="G193" s="5" t="s">
        <v>1788</v>
      </c>
      <c r="H193" s="5" t="s">
        <v>1893</v>
      </c>
    </row>
    <row r="194" customFormat="false" ht="15" hidden="false" customHeight="false" outlineLevel="0" collapsed="false">
      <c r="A194" s="37" t="n">
        <v>45771</v>
      </c>
      <c r="B194" s="5" t="s">
        <v>1894</v>
      </c>
      <c r="C194" s="5" t="s">
        <v>1383</v>
      </c>
      <c r="D194" s="5" t="s">
        <v>1384</v>
      </c>
      <c r="E194" s="5" t="s">
        <v>1319</v>
      </c>
      <c r="F194" s="5" t="s">
        <v>1320</v>
      </c>
      <c r="G194" s="5" t="s">
        <v>1895</v>
      </c>
      <c r="H194" s="5" t="s">
        <v>1896</v>
      </c>
    </row>
    <row r="195" customFormat="false" ht="15" hidden="false" customHeight="false" outlineLevel="0" collapsed="false">
      <c r="A195" s="5" t="s">
        <v>1897</v>
      </c>
      <c r="B195" s="5" t="s">
        <v>1898</v>
      </c>
      <c r="C195" s="5" t="s">
        <v>1339</v>
      </c>
      <c r="D195" s="5" t="s">
        <v>1340</v>
      </c>
      <c r="E195" s="5" t="s">
        <v>1427</v>
      </c>
      <c r="F195" s="5" t="s">
        <v>1431</v>
      </c>
      <c r="G195" s="5" t="s">
        <v>1795</v>
      </c>
      <c r="H195" s="5" t="s">
        <v>1899</v>
      </c>
    </row>
    <row r="196" customFormat="false" ht="15" hidden="false" customHeight="false" outlineLevel="0" collapsed="false">
      <c r="A196" s="5" t="s">
        <v>1900</v>
      </c>
      <c r="B196" s="5" t="s">
        <v>1901</v>
      </c>
      <c r="C196" s="5" t="s">
        <v>1406</v>
      </c>
      <c r="D196" s="5" t="s">
        <v>1407</v>
      </c>
      <c r="E196" s="5" t="s">
        <v>1468</v>
      </c>
      <c r="F196" s="5" t="s">
        <v>1335</v>
      </c>
      <c r="G196" s="5" t="s">
        <v>1838</v>
      </c>
      <c r="H196" s="5" t="s">
        <v>1902</v>
      </c>
    </row>
    <row r="197" customFormat="false" ht="15" hidden="false" customHeight="false" outlineLevel="0" collapsed="false">
      <c r="A197" s="5" t="s">
        <v>1903</v>
      </c>
      <c r="B197" s="5" t="s">
        <v>1904</v>
      </c>
      <c r="C197" s="5" t="s">
        <v>1332</v>
      </c>
      <c r="D197" s="5" t="s">
        <v>1333</v>
      </c>
      <c r="E197" s="5" t="s">
        <v>1373</v>
      </c>
      <c r="F197" s="5" t="s">
        <v>1374</v>
      </c>
      <c r="G197" s="5" t="s">
        <v>1799</v>
      </c>
      <c r="H197" s="5" t="n">
        <v>4198.2</v>
      </c>
    </row>
    <row r="198" customFormat="false" ht="15" hidden="false" customHeight="false" outlineLevel="0" collapsed="false">
      <c r="A198" s="5" t="s">
        <v>1905</v>
      </c>
      <c r="B198" s="5" t="s">
        <v>1906</v>
      </c>
      <c r="C198" s="5" t="s">
        <v>1356</v>
      </c>
      <c r="D198" s="5" t="s">
        <v>1559</v>
      </c>
      <c r="E198" s="5" t="s">
        <v>1496</v>
      </c>
      <c r="F198" s="5" t="s">
        <v>1351</v>
      </c>
      <c r="G198" s="5" t="s">
        <v>1788</v>
      </c>
      <c r="H198" s="5" t="s">
        <v>1907</v>
      </c>
    </row>
    <row r="199" customFormat="false" ht="15" hidden="false" customHeight="false" outlineLevel="0" collapsed="false">
      <c r="A199" s="37" t="n">
        <v>45775</v>
      </c>
      <c r="B199" s="5" t="s">
        <v>1908</v>
      </c>
      <c r="C199" s="5" t="s">
        <v>1383</v>
      </c>
      <c r="D199" s="5" t="s">
        <v>1384</v>
      </c>
      <c r="E199" s="5" t="s">
        <v>1350</v>
      </c>
      <c r="F199" s="5" t="s">
        <v>1409</v>
      </c>
      <c r="G199" s="5" t="s">
        <v>1817</v>
      </c>
      <c r="H199" s="5" t="s">
        <v>1909</v>
      </c>
    </row>
    <row r="200" customFormat="false" ht="15" hidden="false" customHeight="false" outlineLevel="0" collapsed="false">
      <c r="A200" s="5" t="s">
        <v>1910</v>
      </c>
      <c r="B200" s="5" t="s">
        <v>1911</v>
      </c>
      <c r="C200" s="5" t="n">
        <v>456</v>
      </c>
      <c r="D200" s="5" t="s">
        <v>1367</v>
      </c>
      <c r="E200" s="5" t="s">
        <v>1334</v>
      </c>
      <c r="F200" s="5" t="s">
        <v>1374</v>
      </c>
      <c r="G200" s="5" t="s">
        <v>1912</v>
      </c>
      <c r="H200" s="5" t="s">
        <v>1913</v>
      </c>
    </row>
    <row r="201" customFormat="false" ht="15" hidden="false" customHeight="false" outlineLevel="0" collapsed="false">
      <c r="A201" s="5" t="s">
        <v>1914</v>
      </c>
      <c r="B201" s="5" t="s">
        <v>1915</v>
      </c>
      <c r="C201" s="5" t="s">
        <v>1324</v>
      </c>
      <c r="D201" s="5" t="s">
        <v>1325</v>
      </c>
      <c r="E201" s="5" t="s">
        <v>1450</v>
      </c>
      <c r="F201" s="5" t="s">
        <v>1389</v>
      </c>
      <c r="G201" s="5" t="s">
        <v>1916</v>
      </c>
      <c r="H201" s="5" t="s">
        <v>1917</v>
      </c>
    </row>
    <row r="202" customFormat="false" ht="15" hidden="false" customHeight="false" outlineLevel="0" collapsed="false">
      <c r="A202" s="5" t="s">
        <v>1918</v>
      </c>
      <c r="B202" s="5" t="s">
        <v>1919</v>
      </c>
      <c r="C202" s="5" t="s">
        <v>1406</v>
      </c>
      <c r="D202" s="5" t="s">
        <v>1407</v>
      </c>
      <c r="E202" s="5" t="s">
        <v>1346</v>
      </c>
      <c r="F202" s="5" t="s">
        <v>1327</v>
      </c>
      <c r="G202" s="5" t="s">
        <v>1920</v>
      </c>
      <c r="H202" s="5" t="s">
        <v>1921</v>
      </c>
    </row>
    <row r="203" customFormat="false" ht="15" hidden="false" customHeight="false" outlineLevel="0" collapsed="false">
      <c r="A203" s="5" t="s">
        <v>1922</v>
      </c>
      <c r="B203" s="5" t="s">
        <v>1923</v>
      </c>
      <c r="C203" s="5" t="s">
        <v>1453</v>
      </c>
      <c r="D203" s="5" t="s">
        <v>1360</v>
      </c>
      <c r="E203" s="5" t="s">
        <v>1334</v>
      </c>
      <c r="F203" s="5" t="s">
        <v>1335</v>
      </c>
      <c r="G203" s="5" t="s">
        <v>1924</v>
      </c>
      <c r="H203" s="5" t="n">
        <v>3202.41</v>
      </c>
    </row>
    <row r="204" customFormat="false" ht="15" hidden="false" customHeight="false" outlineLevel="0" collapsed="false">
      <c r="A204" s="37" t="n">
        <v>45780</v>
      </c>
      <c r="B204" s="5" t="s">
        <v>1925</v>
      </c>
      <c r="C204" s="5" t="s">
        <v>1371</v>
      </c>
      <c r="D204" s="5" t="s">
        <v>1372</v>
      </c>
      <c r="E204" s="5" t="s">
        <v>1438</v>
      </c>
      <c r="F204" s="5" t="s">
        <v>1389</v>
      </c>
      <c r="G204" s="5" t="s">
        <v>1916</v>
      </c>
      <c r="H204" s="5" t="s">
        <v>1926</v>
      </c>
    </row>
    <row r="205" customFormat="false" ht="15" hidden="false" customHeight="false" outlineLevel="0" collapsed="false">
      <c r="A205" s="5" t="s">
        <v>1927</v>
      </c>
      <c r="B205" s="5" t="s">
        <v>1928</v>
      </c>
      <c r="C205" s="5" t="s">
        <v>1386</v>
      </c>
      <c r="D205" s="5" t="s">
        <v>1387</v>
      </c>
      <c r="E205" s="5" t="s">
        <v>1424</v>
      </c>
      <c r="F205" s="5" t="s">
        <v>1431</v>
      </c>
      <c r="G205" s="5" t="s">
        <v>1929</v>
      </c>
      <c r="H205" s="5" t="s">
        <v>1930</v>
      </c>
    </row>
    <row r="206" customFormat="false" ht="15" hidden="false" customHeight="false" outlineLevel="0" collapsed="false">
      <c r="A206" s="5" t="s">
        <v>1931</v>
      </c>
      <c r="B206" s="5" t="s">
        <v>1932</v>
      </c>
      <c r="C206" s="5" t="s">
        <v>1356</v>
      </c>
      <c r="D206" s="5" t="s">
        <v>1357</v>
      </c>
      <c r="E206" s="5" t="s">
        <v>1363</v>
      </c>
      <c r="F206" s="5" t="s">
        <v>1327</v>
      </c>
      <c r="G206" s="5" t="s">
        <v>1920</v>
      </c>
      <c r="H206" s="5" t="s">
        <v>1933</v>
      </c>
    </row>
    <row r="207" customFormat="false" ht="15" hidden="false" customHeight="false" outlineLevel="0" collapsed="false">
      <c r="A207" s="5" t="s">
        <v>1934</v>
      </c>
      <c r="B207" s="5" t="s">
        <v>1935</v>
      </c>
      <c r="C207" s="5" t="n">
        <v>3003</v>
      </c>
      <c r="D207" s="5" t="s">
        <v>1372</v>
      </c>
      <c r="E207" s="5" t="s">
        <v>1424</v>
      </c>
      <c r="F207" s="5" t="s">
        <v>1431</v>
      </c>
      <c r="G207" s="5" t="s">
        <v>1929</v>
      </c>
      <c r="H207" s="5" t="s">
        <v>1936</v>
      </c>
    </row>
    <row r="208" customFormat="false" ht="15" hidden="false" customHeight="false" outlineLevel="0" collapsed="false">
      <c r="A208" s="5" t="s">
        <v>1937</v>
      </c>
      <c r="B208" s="5" t="s">
        <v>1938</v>
      </c>
      <c r="C208" s="5" t="s">
        <v>1453</v>
      </c>
      <c r="D208" s="5" t="s">
        <v>1360</v>
      </c>
      <c r="E208" s="5" t="s">
        <v>1400</v>
      </c>
      <c r="F208" s="5" t="s">
        <v>1401</v>
      </c>
      <c r="G208" s="5" t="s">
        <v>1939</v>
      </c>
      <c r="H208" s="5" t="s">
        <v>1940</v>
      </c>
    </row>
    <row r="209" customFormat="false" ht="15" hidden="false" customHeight="false" outlineLevel="0" collapsed="false">
      <c r="A209" s="37" t="n">
        <v>45783</v>
      </c>
      <c r="B209" s="5" t="s">
        <v>1941</v>
      </c>
      <c r="C209" s="5" t="s">
        <v>1386</v>
      </c>
      <c r="D209" s="5" t="s">
        <v>1942</v>
      </c>
      <c r="E209" s="5" t="s">
        <v>1416</v>
      </c>
      <c r="F209" s="5" t="s">
        <v>1335</v>
      </c>
      <c r="G209" s="5" t="s">
        <v>1924</v>
      </c>
      <c r="H209" s="5" t="n">
        <v>1966.59</v>
      </c>
    </row>
    <row r="210" customFormat="false" ht="15" hidden="false" customHeight="false" outlineLevel="0" collapsed="false">
      <c r="A210" s="5" t="s">
        <v>1943</v>
      </c>
      <c r="B210" s="5" t="s">
        <v>1944</v>
      </c>
      <c r="C210" s="5" t="s">
        <v>1339</v>
      </c>
      <c r="D210" s="5" t="s">
        <v>1340</v>
      </c>
      <c r="E210" s="5" t="s">
        <v>1468</v>
      </c>
      <c r="F210" s="5" t="s">
        <v>1335</v>
      </c>
      <c r="G210" s="5" t="s">
        <v>1924</v>
      </c>
      <c r="H210" s="5" t="s">
        <v>1945</v>
      </c>
    </row>
    <row r="211" customFormat="false" ht="15" hidden="false" customHeight="false" outlineLevel="0" collapsed="false">
      <c r="A211" s="5" t="s">
        <v>1943</v>
      </c>
      <c r="B211" s="5" t="s">
        <v>1944</v>
      </c>
      <c r="C211" s="5" t="s">
        <v>1339</v>
      </c>
      <c r="D211" s="5" t="s">
        <v>1340</v>
      </c>
      <c r="E211" s="5" t="s">
        <v>1468</v>
      </c>
      <c r="F211" s="5" t="s">
        <v>1335</v>
      </c>
      <c r="G211" s="5" t="s">
        <v>1924</v>
      </c>
      <c r="H211" s="5" t="s">
        <v>1945</v>
      </c>
    </row>
    <row r="212" customFormat="false" ht="15" hidden="false" customHeight="false" outlineLevel="0" collapsed="false">
      <c r="A212" s="5" t="s">
        <v>1946</v>
      </c>
      <c r="B212" s="5" t="s">
        <v>1947</v>
      </c>
      <c r="C212" s="5" t="s">
        <v>1386</v>
      </c>
      <c r="D212" s="5" t="s">
        <v>1387</v>
      </c>
      <c r="E212" s="5" t="s">
        <v>1326</v>
      </c>
      <c r="F212" s="5" t="s">
        <v>1327</v>
      </c>
      <c r="G212" s="5" t="s">
        <v>1920</v>
      </c>
      <c r="H212" s="5" t="s">
        <v>1948</v>
      </c>
    </row>
    <row r="213" customFormat="false" ht="15" hidden="false" customHeight="false" outlineLevel="0" collapsed="false">
      <c r="A213" s="5" t="s">
        <v>1949</v>
      </c>
      <c r="B213" s="5" t="s">
        <v>1950</v>
      </c>
      <c r="C213" s="5" t="s">
        <v>1332</v>
      </c>
      <c r="D213" s="5" t="s">
        <v>1333</v>
      </c>
      <c r="E213" s="5" t="s">
        <v>1438</v>
      </c>
      <c r="F213" s="5" t="s">
        <v>1389</v>
      </c>
      <c r="G213" s="5" t="s">
        <v>1916</v>
      </c>
      <c r="H213" s="5" t="s">
        <v>1951</v>
      </c>
    </row>
    <row r="214" customFormat="false" ht="15" hidden="false" customHeight="false" outlineLevel="0" collapsed="false">
      <c r="A214" s="37" t="n">
        <v>45785</v>
      </c>
      <c r="B214" s="5" t="s">
        <v>1952</v>
      </c>
      <c r="C214" s="5" t="n">
        <v>5555</v>
      </c>
      <c r="D214" s="5" t="s">
        <v>1384</v>
      </c>
      <c r="E214" s="5" t="s">
        <v>1468</v>
      </c>
      <c r="F214" s="5" t="s">
        <v>1374</v>
      </c>
      <c r="G214" s="5" t="s">
        <v>1912</v>
      </c>
      <c r="H214" s="5" t="s">
        <v>1953</v>
      </c>
    </row>
    <row r="215" customFormat="false" ht="15" hidden="false" customHeight="false" outlineLevel="0" collapsed="false">
      <c r="A215" s="5" t="s">
        <v>1954</v>
      </c>
      <c r="B215" s="5" t="s">
        <v>1955</v>
      </c>
      <c r="C215" s="5" t="s">
        <v>1339</v>
      </c>
      <c r="D215" s="5" t="s">
        <v>1340</v>
      </c>
      <c r="E215" s="5" t="s">
        <v>1468</v>
      </c>
      <c r="F215" s="5" t="s">
        <v>1335</v>
      </c>
      <c r="G215" s="5" t="s">
        <v>1924</v>
      </c>
      <c r="H215" s="5" t="n">
        <v>7747.18</v>
      </c>
    </row>
    <row r="216" customFormat="false" ht="15" hidden="false" customHeight="false" outlineLevel="0" collapsed="false">
      <c r="A216" s="5" t="s">
        <v>1956</v>
      </c>
      <c r="B216" s="5" t="s">
        <v>1957</v>
      </c>
      <c r="C216" s="5" t="s">
        <v>1324</v>
      </c>
      <c r="D216" s="5" t="s">
        <v>1325</v>
      </c>
      <c r="E216" s="5" t="s">
        <v>1400</v>
      </c>
      <c r="F216" s="5" t="s">
        <v>1401</v>
      </c>
      <c r="G216" s="5" t="s">
        <v>1939</v>
      </c>
      <c r="H216" s="5" t="s">
        <v>1958</v>
      </c>
    </row>
    <row r="217" customFormat="false" ht="15" hidden="false" customHeight="false" outlineLevel="0" collapsed="false">
      <c r="A217" s="5" t="s">
        <v>1959</v>
      </c>
      <c r="B217" s="5" t="s">
        <v>1960</v>
      </c>
      <c r="C217" s="5" t="s">
        <v>1406</v>
      </c>
      <c r="D217" s="5" t="s">
        <v>1407</v>
      </c>
      <c r="E217" s="5" t="s">
        <v>1496</v>
      </c>
      <c r="F217" s="5" t="s">
        <v>1409</v>
      </c>
      <c r="G217" s="5" t="s">
        <v>1961</v>
      </c>
      <c r="H217" s="5" t="s">
        <v>1962</v>
      </c>
    </row>
    <row r="218" customFormat="false" ht="15" hidden="false" customHeight="false" outlineLevel="0" collapsed="false">
      <c r="A218" s="5" t="s">
        <v>1963</v>
      </c>
      <c r="B218" s="5" t="s">
        <v>1964</v>
      </c>
      <c r="C218" s="5" t="s">
        <v>1383</v>
      </c>
      <c r="D218" s="5" t="s">
        <v>1965</v>
      </c>
      <c r="E218" s="5" t="s">
        <v>1400</v>
      </c>
      <c r="F218" s="5" t="s">
        <v>1389</v>
      </c>
      <c r="G218" s="5" t="s">
        <v>1916</v>
      </c>
      <c r="H218" s="5" t="s">
        <v>1966</v>
      </c>
    </row>
    <row r="219" customFormat="false" ht="15" hidden="false" customHeight="false" outlineLevel="0" collapsed="false">
      <c r="A219" s="37" t="n">
        <v>45788</v>
      </c>
      <c r="B219" s="5" t="s">
        <v>1967</v>
      </c>
      <c r="C219" s="5" t="s">
        <v>1339</v>
      </c>
      <c r="D219" s="5" t="s">
        <v>1340</v>
      </c>
      <c r="E219" s="5" t="s">
        <v>1416</v>
      </c>
      <c r="F219" s="5" t="s">
        <v>1374</v>
      </c>
      <c r="G219" s="5" t="s">
        <v>1912</v>
      </c>
      <c r="H219" s="5" t="s">
        <v>1968</v>
      </c>
    </row>
    <row r="220" customFormat="false" ht="15" hidden="false" customHeight="false" outlineLevel="0" collapsed="false">
      <c r="A220" s="5" t="s">
        <v>1969</v>
      </c>
      <c r="B220" s="5" t="s">
        <v>1970</v>
      </c>
      <c r="C220" s="5" t="s">
        <v>1406</v>
      </c>
      <c r="D220" s="5" t="s">
        <v>1717</v>
      </c>
      <c r="E220" s="5" t="s">
        <v>1373</v>
      </c>
      <c r="F220" s="5" t="s">
        <v>1335</v>
      </c>
      <c r="G220" s="5" t="s">
        <v>1924</v>
      </c>
      <c r="H220" s="5" t="s">
        <v>1971</v>
      </c>
    </row>
    <row r="221" customFormat="false" ht="15" hidden="false" customHeight="false" outlineLevel="0" collapsed="false">
      <c r="A221" s="5" t="s">
        <v>1972</v>
      </c>
      <c r="B221" s="5" t="s">
        <v>1973</v>
      </c>
      <c r="C221" s="5" t="n">
        <v>1011</v>
      </c>
      <c r="D221" s="5" t="s">
        <v>1325</v>
      </c>
      <c r="E221" s="5" t="s">
        <v>1427</v>
      </c>
      <c r="F221" s="5" t="s">
        <v>1431</v>
      </c>
      <c r="G221" s="5" t="s">
        <v>1929</v>
      </c>
      <c r="H221" s="5" t="n">
        <v>972.11</v>
      </c>
    </row>
    <row r="222" customFormat="false" ht="15" hidden="false" customHeight="false" outlineLevel="0" collapsed="false">
      <c r="A222" s="5" t="s">
        <v>1974</v>
      </c>
      <c r="B222" s="5" t="s">
        <v>1975</v>
      </c>
      <c r="C222" s="5" t="s">
        <v>1324</v>
      </c>
      <c r="D222" s="5" t="s">
        <v>1325</v>
      </c>
      <c r="E222" s="5" t="s">
        <v>1438</v>
      </c>
      <c r="F222" s="5" t="s">
        <v>1389</v>
      </c>
      <c r="G222" s="5" t="s">
        <v>1916</v>
      </c>
      <c r="H222" s="5" t="s">
        <v>1976</v>
      </c>
    </row>
    <row r="223" customFormat="false" ht="15" hidden="false" customHeight="false" outlineLevel="0" collapsed="false">
      <c r="A223" s="5" t="s">
        <v>1977</v>
      </c>
      <c r="B223" s="5" t="s">
        <v>1978</v>
      </c>
      <c r="C223" s="5" t="s">
        <v>1453</v>
      </c>
      <c r="D223" s="5" t="s">
        <v>1360</v>
      </c>
      <c r="E223" s="5" t="s">
        <v>1450</v>
      </c>
      <c r="F223" s="5" t="s">
        <v>1401</v>
      </c>
      <c r="G223" s="5" t="s">
        <v>1939</v>
      </c>
      <c r="H223" s="5" t="s">
        <v>1979</v>
      </c>
    </row>
    <row r="224" customFormat="false" ht="15" hidden="false" customHeight="false" outlineLevel="0" collapsed="false">
      <c r="A224" s="37" t="n">
        <v>45790</v>
      </c>
      <c r="B224" s="5" t="s">
        <v>1980</v>
      </c>
      <c r="C224" s="5" t="s">
        <v>1383</v>
      </c>
      <c r="D224" s="5" t="s">
        <v>1384</v>
      </c>
      <c r="E224" s="5" t="s">
        <v>1334</v>
      </c>
      <c r="F224" s="5" t="s">
        <v>1374</v>
      </c>
      <c r="G224" s="5" t="s">
        <v>1912</v>
      </c>
      <c r="H224" s="5" t="s">
        <v>1981</v>
      </c>
    </row>
    <row r="225" customFormat="false" ht="15" hidden="false" customHeight="false" outlineLevel="0" collapsed="false">
      <c r="A225" s="5" t="s">
        <v>1982</v>
      </c>
      <c r="B225" s="5" t="s">
        <v>1983</v>
      </c>
      <c r="C225" s="5" t="s">
        <v>1356</v>
      </c>
      <c r="D225" s="5" t="s">
        <v>1357</v>
      </c>
      <c r="E225" s="5" t="s">
        <v>1496</v>
      </c>
      <c r="F225" s="5" t="s">
        <v>1409</v>
      </c>
      <c r="G225" s="5" t="s">
        <v>1961</v>
      </c>
      <c r="H225" s="5" t="s">
        <v>1984</v>
      </c>
    </row>
    <row r="226" customFormat="false" ht="15" hidden="false" customHeight="false" outlineLevel="0" collapsed="false">
      <c r="A226" s="5" t="s">
        <v>1985</v>
      </c>
      <c r="B226" s="5" t="s">
        <v>1986</v>
      </c>
      <c r="C226" s="5" t="s">
        <v>1356</v>
      </c>
      <c r="D226" s="5" t="s">
        <v>1357</v>
      </c>
      <c r="E226" s="5" t="s">
        <v>1408</v>
      </c>
      <c r="F226" s="5" t="s">
        <v>1409</v>
      </c>
      <c r="G226" s="5" t="s">
        <v>1961</v>
      </c>
      <c r="H226" s="5" t="s">
        <v>1987</v>
      </c>
    </row>
    <row r="227" customFormat="false" ht="15" hidden="false" customHeight="false" outlineLevel="0" collapsed="false">
      <c r="A227" s="5" t="s">
        <v>1988</v>
      </c>
      <c r="B227" s="5" t="s">
        <v>1989</v>
      </c>
      <c r="C227" s="5" t="s">
        <v>1453</v>
      </c>
      <c r="D227" s="5" t="s">
        <v>1601</v>
      </c>
      <c r="E227" s="5" t="s">
        <v>1408</v>
      </c>
      <c r="F227" s="5" t="s">
        <v>1351</v>
      </c>
      <c r="G227" s="5" t="s">
        <v>1990</v>
      </c>
      <c r="H227" s="5" t="n">
        <v>452.34</v>
      </c>
    </row>
    <row r="228" customFormat="false" ht="15" hidden="false" customHeight="false" outlineLevel="0" collapsed="false">
      <c r="A228" s="5" t="s">
        <v>1991</v>
      </c>
      <c r="B228" s="5" t="s">
        <v>1992</v>
      </c>
      <c r="C228" s="5" t="n">
        <v>2020</v>
      </c>
      <c r="D228" s="5" t="s">
        <v>1387</v>
      </c>
      <c r="E228" s="5" t="s">
        <v>1326</v>
      </c>
      <c r="F228" s="5" t="s">
        <v>1327</v>
      </c>
      <c r="G228" s="5" t="s">
        <v>1920</v>
      </c>
      <c r="H228" s="5" t="s">
        <v>1993</v>
      </c>
    </row>
    <row r="229" customFormat="false" ht="15" hidden="false" customHeight="false" outlineLevel="0" collapsed="false">
      <c r="A229" s="37" t="n">
        <v>45792</v>
      </c>
      <c r="B229" s="5" t="s">
        <v>1994</v>
      </c>
      <c r="C229" s="5" t="s">
        <v>1324</v>
      </c>
      <c r="D229" s="5" t="s">
        <v>1325</v>
      </c>
      <c r="E229" s="5" t="s">
        <v>1424</v>
      </c>
      <c r="F229" s="5" t="s">
        <v>1320</v>
      </c>
      <c r="G229" s="5" t="s">
        <v>1995</v>
      </c>
      <c r="H229" s="5" t="s">
        <v>1996</v>
      </c>
    </row>
    <row r="230" customFormat="false" ht="15" hidden="false" customHeight="false" outlineLevel="0" collapsed="false">
      <c r="A230" s="5" t="s">
        <v>1997</v>
      </c>
      <c r="B230" s="5" t="s">
        <v>1998</v>
      </c>
      <c r="C230" s="5" t="s">
        <v>1332</v>
      </c>
      <c r="D230" s="5" t="s">
        <v>1333</v>
      </c>
      <c r="E230" s="5" t="s">
        <v>1450</v>
      </c>
      <c r="F230" s="5" t="s">
        <v>1401</v>
      </c>
      <c r="G230" s="5" t="s">
        <v>1939</v>
      </c>
      <c r="H230" s="5" t="s">
        <v>1999</v>
      </c>
    </row>
    <row r="231" customFormat="false" ht="15" hidden="false" customHeight="false" outlineLevel="0" collapsed="false">
      <c r="A231" s="5" t="s">
        <v>2000</v>
      </c>
      <c r="B231" s="5" t="s">
        <v>2001</v>
      </c>
      <c r="C231" s="5" t="s">
        <v>1332</v>
      </c>
      <c r="D231" s="5" t="s">
        <v>1685</v>
      </c>
      <c r="E231" s="5" t="s">
        <v>1350</v>
      </c>
      <c r="F231" s="5" t="s">
        <v>1351</v>
      </c>
      <c r="G231" s="5" t="s">
        <v>1990</v>
      </c>
      <c r="H231" s="5" t="s">
        <v>2002</v>
      </c>
    </row>
    <row r="232" customFormat="false" ht="15" hidden="false" customHeight="false" outlineLevel="0" collapsed="false">
      <c r="A232" s="5" t="s">
        <v>2003</v>
      </c>
      <c r="B232" s="5" t="s">
        <v>2004</v>
      </c>
      <c r="C232" s="5" t="s">
        <v>1356</v>
      </c>
      <c r="D232" s="5" t="s">
        <v>1357</v>
      </c>
      <c r="E232" s="5" t="s">
        <v>1450</v>
      </c>
      <c r="F232" s="5" t="s">
        <v>1401</v>
      </c>
      <c r="G232" s="5" t="s">
        <v>1939</v>
      </c>
      <c r="H232" s="5" t="s">
        <v>2005</v>
      </c>
    </row>
    <row r="233" customFormat="false" ht="15" hidden="false" customHeight="false" outlineLevel="0" collapsed="false">
      <c r="A233" s="5" t="s">
        <v>2006</v>
      </c>
      <c r="B233" s="5" t="s">
        <v>2007</v>
      </c>
      <c r="C233" s="5" t="s">
        <v>1339</v>
      </c>
      <c r="D233" s="5" t="s">
        <v>1340</v>
      </c>
      <c r="E233" s="5" t="s">
        <v>1346</v>
      </c>
      <c r="F233" s="5" t="s">
        <v>1327</v>
      </c>
      <c r="G233" s="5" t="s">
        <v>1920</v>
      </c>
      <c r="H233" s="5" t="n">
        <v>5077.87</v>
      </c>
    </row>
    <row r="234" customFormat="false" ht="15" hidden="false" customHeight="false" outlineLevel="0" collapsed="false">
      <c r="A234" s="37" t="n">
        <v>45798</v>
      </c>
      <c r="B234" s="5" t="s">
        <v>2008</v>
      </c>
      <c r="C234" s="5" t="s">
        <v>1383</v>
      </c>
      <c r="D234" s="5" t="s">
        <v>1384</v>
      </c>
      <c r="E234" s="5" t="s">
        <v>1373</v>
      </c>
      <c r="F234" s="5" t="s">
        <v>1335</v>
      </c>
      <c r="G234" s="5" t="s">
        <v>1924</v>
      </c>
      <c r="H234" s="5" t="s">
        <v>2009</v>
      </c>
    </row>
    <row r="235" customFormat="false" ht="15" hidden="false" customHeight="false" outlineLevel="0" collapsed="false">
      <c r="A235" s="5" t="s">
        <v>2010</v>
      </c>
      <c r="B235" s="5" t="s">
        <v>2011</v>
      </c>
      <c r="C235" s="5" t="n">
        <v>3003</v>
      </c>
      <c r="D235" s="5" t="s">
        <v>1372</v>
      </c>
      <c r="E235" s="5" t="s">
        <v>1373</v>
      </c>
      <c r="F235" s="5" t="s">
        <v>1335</v>
      </c>
      <c r="G235" s="5" t="s">
        <v>1924</v>
      </c>
      <c r="H235" s="5" t="s">
        <v>2012</v>
      </c>
    </row>
    <row r="236" customFormat="false" ht="15" hidden="false" customHeight="false" outlineLevel="0" collapsed="false">
      <c r="A236" s="5" t="s">
        <v>2013</v>
      </c>
      <c r="B236" s="5" t="s">
        <v>2014</v>
      </c>
      <c r="C236" s="5" t="s">
        <v>1386</v>
      </c>
      <c r="D236" s="5" t="s">
        <v>2015</v>
      </c>
      <c r="E236" s="5" t="s">
        <v>1319</v>
      </c>
      <c r="F236" s="5" t="s">
        <v>1431</v>
      </c>
      <c r="G236" s="5" t="s">
        <v>1929</v>
      </c>
      <c r="H236" s="5" t="s">
        <v>2016</v>
      </c>
    </row>
    <row r="237" customFormat="false" ht="15" hidden="false" customHeight="false" outlineLevel="0" collapsed="false">
      <c r="A237" s="5" t="s">
        <v>2017</v>
      </c>
      <c r="B237" s="5" t="s">
        <v>2018</v>
      </c>
      <c r="C237" s="5" t="s">
        <v>1406</v>
      </c>
      <c r="D237" s="5" t="s">
        <v>1407</v>
      </c>
      <c r="E237" s="5" t="s">
        <v>1388</v>
      </c>
      <c r="F237" s="5" t="s">
        <v>1389</v>
      </c>
      <c r="G237" s="5" t="s">
        <v>1916</v>
      </c>
      <c r="H237" s="5" t="s">
        <v>2019</v>
      </c>
    </row>
    <row r="238" customFormat="false" ht="15" hidden="false" customHeight="false" outlineLevel="0" collapsed="false">
      <c r="A238" s="5" t="s">
        <v>2020</v>
      </c>
      <c r="B238" s="5" t="s">
        <v>2021</v>
      </c>
      <c r="C238" s="5" t="s">
        <v>1324</v>
      </c>
      <c r="D238" s="5" t="s">
        <v>1325</v>
      </c>
      <c r="E238" s="5" t="s">
        <v>1424</v>
      </c>
      <c r="F238" s="5" t="s">
        <v>1320</v>
      </c>
      <c r="G238" s="5" t="s">
        <v>1995</v>
      </c>
      <c r="H238" s="5" t="s">
        <v>2022</v>
      </c>
    </row>
    <row r="239" customFormat="false" ht="15" hidden="false" customHeight="false" outlineLevel="0" collapsed="false">
      <c r="A239" s="37" t="n">
        <v>45801</v>
      </c>
      <c r="B239" s="5" t="s">
        <v>2023</v>
      </c>
      <c r="C239" s="5" t="s">
        <v>1332</v>
      </c>
      <c r="D239" s="5" t="s">
        <v>1333</v>
      </c>
      <c r="E239" s="5" t="s">
        <v>1363</v>
      </c>
      <c r="F239" s="5" t="s">
        <v>1341</v>
      </c>
      <c r="G239" s="5" t="s">
        <v>2024</v>
      </c>
      <c r="H239" s="5" t="n">
        <v>689.35</v>
      </c>
    </row>
    <row r="240" customFormat="false" ht="15" hidden="false" customHeight="false" outlineLevel="0" collapsed="false">
      <c r="A240" s="5" t="s">
        <v>2025</v>
      </c>
      <c r="B240" s="5" t="s">
        <v>2026</v>
      </c>
      <c r="C240" s="5" t="s">
        <v>1356</v>
      </c>
      <c r="D240" s="5" t="s">
        <v>1357</v>
      </c>
      <c r="E240" s="5" t="s">
        <v>1496</v>
      </c>
      <c r="F240" s="5" t="s">
        <v>1351</v>
      </c>
      <c r="G240" s="5" t="s">
        <v>1990</v>
      </c>
      <c r="H240" s="5" t="s">
        <v>2027</v>
      </c>
    </row>
    <row r="241" customFormat="false" ht="15" hidden="false" customHeight="false" outlineLevel="0" collapsed="false">
      <c r="A241" s="5" t="s">
        <v>2028</v>
      </c>
      <c r="B241" s="5" t="s">
        <v>2029</v>
      </c>
      <c r="C241" s="5" t="s">
        <v>1356</v>
      </c>
      <c r="D241" s="5" t="s">
        <v>1357</v>
      </c>
      <c r="E241" s="5" t="s">
        <v>1496</v>
      </c>
      <c r="F241" s="5" t="s">
        <v>1351</v>
      </c>
      <c r="G241" s="5" t="s">
        <v>1990</v>
      </c>
      <c r="H241" s="5" t="s">
        <v>2030</v>
      </c>
    </row>
    <row r="242" customFormat="false" ht="15" hidden="false" customHeight="false" outlineLevel="0" collapsed="false">
      <c r="A242" s="5" t="s">
        <v>2031</v>
      </c>
      <c r="B242" s="5" t="s">
        <v>2032</v>
      </c>
      <c r="C242" s="5" t="n">
        <v>4040</v>
      </c>
      <c r="D242" s="5" t="s">
        <v>1379</v>
      </c>
      <c r="E242" s="5" t="s">
        <v>1408</v>
      </c>
      <c r="F242" s="5" t="s">
        <v>1351</v>
      </c>
      <c r="G242" s="5" t="s">
        <v>1990</v>
      </c>
      <c r="H242" s="5" t="s">
        <v>2033</v>
      </c>
    </row>
    <row r="243" customFormat="false" ht="15" hidden="false" customHeight="false" outlineLevel="0" collapsed="false">
      <c r="A243" s="5" t="s">
        <v>2034</v>
      </c>
      <c r="B243" s="5" t="s">
        <v>2035</v>
      </c>
      <c r="C243" s="5" t="s">
        <v>1386</v>
      </c>
      <c r="D243" s="5" t="s">
        <v>1387</v>
      </c>
      <c r="E243" s="5" t="s">
        <v>1450</v>
      </c>
      <c r="F243" s="5" t="s">
        <v>1389</v>
      </c>
      <c r="G243" s="5" t="s">
        <v>1916</v>
      </c>
      <c r="H243" s="5" t="s">
        <v>2036</v>
      </c>
    </row>
    <row r="244" customFormat="false" ht="15" hidden="false" customHeight="false" outlineLevel="0" collapsed="false">
      <c r="A244" s="37" t="n">
        <v>45804</v>
      </c>
      <c r="B244" s="5" t="s">
        <v>2037</v>
      </c>
      <c r="C244" s="5" t="s">
        <v>1386</v>
      </c>
      <c r="D244" s="5" t="s">
        <v>1387</v>
      </c>
      <c r="E244" s="5" t="s">
        <v>1408</v>
      </c>
      <c r="F244" s="5" t="s">
        <v>1351</v>
      </c>
      <c r="G244" s="5" t="s">
        <v>1990</v>
      </c>
      <c r="H244" s="5" t="s">
        <v>2038</v>
      </c>
    </row>
    <row r="245" customFormat="false" ht="15" hidden="false" customHeight="false" outlineLevel="0" collapsed="false">
      <c r="A245" s="5" t="s">
        <v>2039</v>
      </c>
      <c r="B245" s="5" t="s">
        <v>2040</v>
      </c>
      <c r="C245" s="5" t="s">
        <v>1332</v>
      </c>
      <c r="D245" s="5" t="s">
        <v>1367</v>
      </c>
      <c r="E245" s="5" t="s">
        <v>1346</v>
      </c>
      <c r="F245" s="5" t="s">
        <v>1341</v>
      </c>
      <c r="G245" s="5" t="s">
        <v>2024</v>
      </c>
      <c r="H245" s="5" t="n">
        <v>2745.74</v>
      </c>
    </row>
    <row r="246" customFormat="false" ht="15" hidden="false" customHeight="false" outlineLevel="0" collapsed="false">
      <c r="A246" s="5" t="s">
        <v>2041</v>
      </c>
      <c r="B246" s="5" t="s">
        <v>2042</v>
      </c>
      <c r="C246" s="5" t="s">
        <v>1339</v>
      </c>
      <c r="D246" s="5" t="s">
        <v>1340</v>
      </c>
      <c r="E246" s="5" t="s">
        <v>1416</v>
      </c>
      <c r="F246" s="5" t="s">
        <v>1335</v>
      </c>
      <c r="G246" s="5" t="s">
        <v>2043</v>
      </c>
      <c r="H246" s="5" t="s">
        <v>2044</v>
      </c>
    </row>
    <row r="247" customFormat="false" ht="15" hidden="false" customHeight="false" outlineLevel="0" collapsed="false">
      <c r="A247" s="5" t="s">
        <v>2045</v>
      </c>
      <c r="B247" s="5" t="s">
        <v>2046</v>
      </c>
      <c r="C247" s="5" t="s">
        <v>1406</v>
      </c>
      <c r="D247" s="5" t="s">
        <v>1407</v>
      </c>
      <c r="E247" s="5" t="s">
        <v>1408</v>
      </c>
      <c r="F247" s="5" t="s">
        <v>1351</v>
      </c>
      <c r="G247" s="5" t="s">
        <v>2047</v>
      </c>
      <c r="H247" s="5" t="s">
        <v>2048</v>
      </c>
    </row>
    <row r="248" customFormat="false" ht="15" hidden="false" customHeight="false" outlineLevel="0" collapsed="false">
      <c r="A248" s="5" t="s">
        <v>2049</v>
      </c>
      <c r="B248" s="5" t="s">
        <v>2050</v>
      </c>
      <c r="C248" s="5" t="s">
        <v>1453</v>
      </c>
      <c r="D248" s="5" t="s">
        <v>1360</v>
      </c>
      <c r="E248" s="5" t="s">
        <v>1408</v>
      </c>
      <c r="F248" s="5" t="s">
        <v>1351</v>
      </c>
      <c r="G248" s="5" t="s">
        <v>2047</v>
      </c>
      <c r="H248" s="5" t="s">
        <v>2051</v>
      </c>
    </row>
    <row r="249" customFormat="false" ht="15" hidden="false" customHeight="false" outlineLevel="0" collapsed="false">
      <c r="A249" s="37" t="n">
        <v>45811</v>
      </c>
      <c r="B249" s="5" t="s">
        <v>2052</v>
      </c>
      <c r="C249" s="5" t="n">
        <v>5555</v>
      </c>
      <c r="D249" s="5" t="s">
        <v>1384</v>
      </c>
      <c r="E249" s="5" t="s">
        <v>1350</v>
      </c>
      <c r="F249" s="5" t="s">
        <v>1409</v>
      </c>
      <c r="G249" s="5" t="s">
        <v>2053</v>
      </c>
      <c r="H249" s="5" t="s">
        <v>2054</v>
      </c>
    </row>
    <row r="250" customFormat="false" ht="15" hidden="false" customHeight="false" outlineLevel="0" collapsed="false">
      <c r="A250" s="5" t="s">
        <v>2055</v>
      </c>
      <c r="B250" s="5" t="s">
        <v>2056</v>
      </c>
      <c r="C250" s="5" t="s">
        <v>1371</v>
      </c>
      <c r="D250" s="5" t="s">
        <v>1372</v>
      </c>
      <c r="E250" s="5" t="s">
        <v>1496</v>
      </c>
      <c r="F250" s="5" t="s">
        <v>1351</v>
      </c>
      <c r="G250" s="5" t="s">
        <v>2047</v>
      </c>
      <c r="H250" s="5" t="s">
        <v>2057</v>
      </c>
    </row>
    <row r="251" customFormat="false" ht="15" hidden="false" customHeight="false" outlineLevel="0" collapsed="false">
      <c r="A251" s="5" t="s">
        <v>1309</v>
      </c>
      <c r="B251" s="5" t="s">
        <v>1310</v>
      </c>
      <c r="C251" s="5" t="s">
        <v>1311</v>
      </c>
      <c r="D251" s="5" t="s">
        <v>1312</v>
      </c>
      <c r="E251" s="5" t="s">
        <v>1313</v>
      </c>
      <c r="F251" s="5" t="s">
        <v>1314</v>
      </c>
      <c r="G251" s="5" t="s">
        <v>1315</v>
      </c>
      <c r="H251" s="5" t="s">
        <v>90</v>
      </c>
    </row>
    <row r="252" customFormat="false" ht="15" hidden="false" customHeight="false" outlineLevel="0" collapsed="false">
      <c r="A252" s="5" t="s">
        <v>2058</v>
      </c>
      <c r="B252" s="5" t="s">
        <v>2059</v>
      </c>
      <c r="C252" s="5" t="s">
        <v>1406</v>
      </c>
      <c r="D252" s="5" t="s">
        <v>1407</v>
      </c>
      <c r="E252" s="5" t="s">
        <v>1450</v>
      </c>
      <c r="F252" s="5" t="s">
        <v>1401</v>
      </c>
      <c r="G252" s="5" t="s">
        <v>2060</v>
      </c>
      <c r="H252" s="5" t="n">
        <v>1107.64</v>
      </c>
    </row>
    <row r="253" customFormat="false" ht="15" hidden="false" customHeight="false" outlineLevel="0" collapsed="false">
      <c r="A253" s="5" t="s">
        <v>2061</v>
      </c>
      <c r="B253" s="5" t="s">
        <v>2062</v>
      </c>
      <c r="C253" s="5" t="s">
        <v>1453</v>
      </c>
      <c r="D253" s="5" t="s">
        <v>1360</v>
      </c>
      <c r="E253" s="5" t="s">
        <v>1408</v>
      </c>
      <c r="F253" s="5" t="s">
        <v>1351</v>
      </c>
      <c r="G253" s="5" t="s">
        <v>2047</v>
      </c>
      <c r="H253" s="5" t="s">
        <v>2063</v>
      </c>
    </row>
    <row r="254" customFormat="false" ht="15" hidden="false" customHeight="false" outlineLevel="0" collapsed="false">
      <c r="A254" s="5" t="s">
        <v>2064</v>
      </c>
      <c r="B254" s="5" t="s">
        <v>2065</v>
      </c>
      <c r="C254" s="5" t="s">
        <v>1386</v>
      </c>
      <c r="D254" s="5" t="s">
        <v>1617</v>
      </c>
      <c r="E254" s="5" t="s">
        <v>1438</v>
      </c>
      <c r="F254" s="5" t="s">
        <v>1401</v>
      </c>
      <c r="G254" s="5" t="s">
        <v>2060</v>
      </c>
      <c r="H254" s="5" t="s">
        <v>2066</v>
      </c>
    </row>
    <row r="255" customFormat="false" ht="15" hidden="false" customHeight="false" outlineLevel="0" collapsed="false">
      <c r="A255" s="37" t="n">
        <v>45813</v>
      </c>
      <c r="B255" s="5" t="s">
        <v>2067</v>
      </c>
      <c r="C255" s="5" t="s">
        <v>1386</v>
      </c>
      <c r="D255" s="5" t="s">
        <v>2015</v>
      </c>
      <c r="E255" s="5" t="s">
        <v>1334</v>
      </c>
      <c r="F255" s="5" t="s">
        <v>1374</v>
      </c>
      <c r="G255" s="5" t="s">
        <v>2068</v>
      </c>
      <c r="H255" s="5" t="s">
        <v>2069</v>
      </c>
    </row>
    <row r="256" customFormat="false" ht="15" hidden="false" customHeight="false" outlineLevel="0" collapsed="false">
      <c r="A256" s="5" t="s">
        <v>2070</v>
      </c>
      <c r="B256" s="5" t="s">
        <v>2071</v>
      </c>
      <c r="C256" s="5" t="s">
        <v>1383</v>
      </c>
      <c r="D256" s="5" t="s">
        <v>1384</v>
      </c>
      <c r="E256" s="5" t="s">
        <v>1363</v>
      </c>
      <c r="F256" s="5" t="s">
        <v>1341</v>
      </c>
      <c r="G256" s="5" t="s">
        <v>2072</v>
      </c>
      <c r="H256" s="5" t="s">
        <v>2073</v>
      </c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</row>
    <row r="258" customFormat="false" ht="15" hidden="false" customHeight="false" outlineLevel="0" collapsed="false">
      <c r="A258" s="5" t="s">
        <v>2074</v>
      </c>
      <c r="B258" s="5" t="s">
        <v>2075</v>
      </c>
      <c r="C258" s="5" t="n">
        <v>456</v>
      </c>
      <c r="D258" s="5" t="s">
        <v>1333</v>
      </c>
      <c r="E258" s="5" t="s">
        <v>1346</v>
      </c>
      <c r="F258" s="5" t="s">
        <v>1327</v>
      </c>
      <c r="G258" s="5" t="s">
        <v>2076</v>
      </c>
      <c r="H258" s="5" t="s">
        <v>2077</v>
      </c>
    </row>
    <row r="259" customFormat="false" ht="15" hidden="false" customHeight="false" outlineLevel="0" collapsed="false">
      <c r="A259" s="5" t="s">
        <v>2078</v>
      </c>
      <c r="B259" s="5" t="s">
        <v>2079</v>
      </c>
      <c r="C259" s="5" t="s">
        <v>1406</v>
      </c>
      <c r="D259" s="5" t="s">
        <v>1407</v>
      </c>
      <c r="E259" s="5" t="s">
        <v>1373</v>
      </c>
      <c r="F259" s="5" t="s">
        <v>1374</v>
      </c>
      <c r="G259" s="5" t="s">
        <v>2068</v>
      </c>
      <c r="H259" s="5" t="n">
        <v>1110.12</v>
      </c>
    </row>
    <row r="260" customFormat="false" ht="15" hidden="false" customHeight="false" outlineLevel="0" collapsed="false">
      <c r="A260" s="5" t="s">
        <v>2080</v>
      </c>
      <c r="B260" s="5" t="s">
        <v>2081</v>
      </c>
      <c r="C260" s="5" t="s">
        <v>1406</v>
      </c>
      <c r="D260" s="5" t="s">
        <v>1407</v>
      </c>
      <c r="E260" s="5" t="s">
        <v>1350</v>
      </c>
      <c r="F260" s="5" t="s">
        <v>1351</v>
      </c>
      <c r="G260" s="5" t="s">
        <v>2047</v>
      </c>
      <c r="H260" s="5" t="s">
        <v>2082</v>
      </c>
    </row>
    <row r="261" customFormat="false" ht="15" hidden="false" customHeight="false" outlineLevel="0" collapsed="false">
      <c r="A261" s="37" t="n">
        <v>45814</v>
      </c>
      <c r="B261" s="5" t="s">
        <v>2083</v>
      </c>
      <c r="C261" s="5" t="s">
        <v>1386</v>
      </c>
      <c r="D261" s="5" t="s">
        <v>1387</v>
      </c>
      <c r="E261" s="5" t="s">
        <v>1373</v>
      </c>
      <c r="F261" s="5" t="s">
        <v>1335</v>
      </c>
      <c r="G261" s="5" t="s">
        <v>2043</v>
      </c>
      <c r="H261" s="5" t="s">
        <v>2084</v>
      </c>
    </row>
    <row r="262" customFormat="false" ht="15" hidden="false" customHeight="false" outlineLevel="0" collapsed="false">
      <c r="A262" s="5" t="s">
        <v>2085</v>
      </c>
      <c r="B262" s="5" t="s">
        <v>2086</v>
      </c>
      <c r="C262" s="5" t="s">
        <v>1371</v>
      </c>
      <c r="D262" s="5" t="s">
        <v>1372</v>
      </c>
      <c r="E262" s="5" t="s">
        <v>1408</v>
      </c>
      <c r="F262" s="5" t="s">
        <v>1351</v>
      </c>
      <c r="G262" s="5" t="s">
        <v>2047</v>
      </c>
      <c r="H262" s="5" t="s">
        <v>2087</v>
      </c>
    </row>
    <row r="263" customFormat="false" ht="15" hidden="false" customHeight="false" outlineLevel="0" collapsed="false">
      <c r="A263" s="5" t="s">
        <v>2088</v>
      </c>
      <c r="B263" s="5" t="s">
        <v>2089</v>
      </c>
      <c r="C263" s="5" t="s">
        <v>1386</v>
      </c>
      <c r="D263" s="5" t="s">
        <v>1387</v>
      </c>
      <c r="E263" s="5" t="s">
        <v>1427</v>
      </c>
      <c r="F263" s="5" t="s">
        <v>1431</v>
      </c>
      <c r="G263" s="5" t="s">
        <v>2090</v>
      </c>
      <c r="H263" s="5" t="s">
        <v>2091</v>
      </c>
    </row>
    <row r="264" customFormat="false" ht="15" hidden="false" customHeight="false" outlineLevel="0" collapsed="false">
      <c r="A264" s="5" t="s">
        <v>2092</v>
      </c>
      <c r="B264" s="5" t="s">
        <v>2093</v>
      </c>
      <c r="C264" s="5" t="s">
        <v>1356</v>
      </c>
      <c r="D264" s="5" t="s">
        <v>1357</v>
      </c>
      <c r="E264" s="5" t="s">
        <v>1388</v>
      </c>
      <c r="F264" s="5" t="s">
        <v>1401</v>
      </c>
      <c r="G264" s="5" t="s">
        <v>2060</v>
      </c>
      <c r="H264" s="5" t="s">
        <v>2094</v>
      </c>
    </row>
    <row r="265" customFormat="false" ht="15" hidden="false" customHeight="false" outlineLevel="0" collapsed="false">
      <c r="A265" s="5" t="s">
        <v>2095</v>
      </c>
      <c r="B265" s="5" t="s">
        <v>2096</v>
      </c>
      <c r="C265" s="5" t="n">
        <v>3003</v>
      </c>
      <c r="D265" s="5" t="s">
        <v>1492</v>
      </c>
      <c r="E265" s="5" t="s">
        <v>1424</v>
      </c>
      <c r="F265" s="5" t="s">
        <v>1320</v>
      </c>
      <c r="G265" s="5" t="s">
        <v>2097</v>
      </c>
      <c r="H265" s="5" t="n">
        <v>1284.69</v>
      </c>
    </row>
    <row r="266" customFormat="false" ht="15" hidden="false" customHeight="false" outlineLevel="0" collapsed="false">
      <c r="A266" s="37" t="n">
        <v>45818</v>
      </c>
      <c r="B266" s="5" t="s">
        <v>2098</v>
      </c>
      <c r="C266" s="5" t="s">
        <v>1383</v>
      </c>
      <c r="D266" s="5" t="s">
        <v>1423</v>
      </c>
      <c r="E266" s="5" t="s">
        <v>1450</v>
      </c>
      <c r="F266" s="5" t="s">
        <v>1401</v>
      </c>
      <c r="G266" s="5" t="s">
        <v>2060</v>
      </c>
      <c r="H266" s="5" t="s">
        <v>2099</v>
      </c>
    </row>
    <row r="267" customFormat="false" ht="15" hidden="false" customHeight="false" outlineLevel="0" collapsed="false">
      <c r="A267" s="5" t="s">
        <v>2100</v>
      </c>
      <c r="B267" s="5" t="s">
        <v>2101</v>
      </c>
      <c r="C267" s="5" t="s">
        <v>1386</v>
      </c>
      <c r="D267" s="5" t="s">
        <v>1387</v>
      </c>
      <c r="E267" s="5" t="s">
        <v>1468</v>
      </c>
      <c r="F267" s="5" t="s">
        <v>1335</v>
      </c>
      <c r="G267" s="5" t="s">
        <v>2043</v>
      </c>
      <c r="H267" s="5" t="s">
        <v>2102</v>
      </c>
    </row>
    <row r="268" customFormat="false" ht="15" hidden="false" customHeight="false" outlineLevel="0" collapsed="false">
      <c r="A268" s="5" t="s">
        <v>2103</v>
      </c>
      <c r="B268" s="5" t="s">
        <v>2104</v>
      </c>
      <c r="C268" s="5" t="s">
        <v>1383</v>
      </c>
      <c r="D268" s="5" t="s">
        <v>1384</v>
      </c>
      <c r="E268" s="5" t="s">
        <v>1373</v>
      </c>
      <c r="F268" s="5" t="s">
        <v>1374</v>
      </c>
      <c r="G268" s="5" t="s">
        <v>2068</v>
      </c>
      <c r="H268" s="5" t="s">
        <v>2105</v>
      </c>
    </row>
    <row r="269" customFormat="false" ht="15" hidden="false" customHeight="false" outlineLevel="0" collapsed="false">
      <c r="A269" s="5" t="s">
        <v>2106</v>
      </c>
      <c r="B269" s="5" t="s">
        <v>2107</v>
      </c>
      <c r="C269" s="5" t="s">
        <v>1371</v>
      </c>
      <c r="D269" s="5" t="s">
        <v>1372</v>
      </c>
      <c r="E269" s="5" t="s">
        <v>1438</v>
      </c>
      <c r="F269" s="5" t="s">
        <v>1401</v>
      </c>
      <c r="G269" s="5" t="s">
        <v>2060</v>
      </c>
      <c r="H269" s="5" t="s">
        <v>2108</v>
      </c>
    </row>
    <row r="270" customFormat="false" ht="15" hidden="false" customHeight="false" outlineLevel="0" collapsed="false">
      <c r="A270" s="5" t="s">
        <v>2109</v>
      </c>
      <c r="B270" s="5" t="s">
        <v>2110</v>
      </c>
      <c r="C270" s="5" t="s">
        <v>1371</v>
      </c>
      <c r="D270" s="5" t="s">
        <v>1372</v>
      </c>
      <c r="E270" s="5" t="s">
        <v>1363</v>
      </c>
      <c r="F270" s="5" t="s">
        <v>1327</v>
      </c>
      <c r="G270" s="5" t="s">
        <v>2076</v>
      </c>
      <c r="H270" s="5" t="s">
        <v>2111</v>
      </c>
    </row>
    <row r="271" customFormat="false" ht="15" hidden="false" customHeight="false" outlineLevel="0" collapsed="false">
      <c r="A271" s="37" t="n">
        <v>45819</v>
      </c>
      <c r="B271" s="5" t="s">
        <v>2112</v>
      </c>
      <c r="C271" s="5" t="s">
        <v>1324</v>
      </c>
      <c r="D271" s="5" t="s">
        <v>1325</v>
      </c>
      <c r="E271" s="5" t="s">
        <v>1496</v>
      </c>
      <c r="F271" s="5" t="s">
        <v>1351</v>
      </c>
      <c r="G271" s="5" t="s">
        <v>2047</v>
      </c>
      <c r="H271" s="5" t="n">
        <v>7184.54</v>
      </c>
    </row>
    <row r="272" customFormat="false" ht="15" hidden="false" customHeight="false" outlineLevel="0" collapsed="false">
      <c r="A272" s="5" t="s">
        <v>2100</v>
      </c>
      <c r="B272" s="5" t="s">
        <v>2113</v>
      </c>
      <c r="C272" s="5" t="n">
        <v>123</v>
      </c>
      <c r="D272" s="5" t="s">
        <v>1360</v>
      </c>
      <c r="E272" s="5" t="s">
        <v>1408</v>
      </c>
      <c r="F272" s="5" t="s">
        <v>1409</v>
      </c>
      <c r="G272" s="5" t="s">
        <v>2053</v>
      </c>
      <c r="H272" s="5" t="s">
        <v>2114</v>
      </c>
    </row>
    <row r="273" customFormat="false" ht="15" hidden="false" customHeight="false" outlineLevel="0" collapsed="false">
      <c r="A273" s="5" t="s">
        <v>2115</v>
      </c>
      <c r="B273" s="5" t="s">
        <v>2116</v>
      </c>
      <c r="C273" s="5" t="s">
        <v>1386</v>
      </c>
      <c r="D273" s="5" t="s">
        <v>1387</v>
      </c>
      <c r="E273" s="5" t="s">
        <v>1373</v>
      </c>
      <c r="F273" s="5" t="s">
        <v>1335</v>
      </c>
      <c r="G273" s="5" t="s">
        <v>2043</v>
      </c>
      <c r="H273" s="5" t="s">
        <v>2117</v>
      </c>
    </row>
    <row r="274" customFormat="false" ht="15" hidden="false" customHeight="false" outlineLevel="0" collapsed="false">
      <c r="A274" s="5" t="s">
        <v>2118</v>
      </c>
      <c r="B274" s="5" t="s">
        <v>2119</v>
      </c>
      <c r="C274" s="5" t="s">
        <v>1383</v>
      </c>
      <c r="D274" s="5" t="s">
        <v>1965</v>
      </c>
      <c r="E274" s="5" t="s">
        <v>1346</v>
      </c>
      <c r="F274" s="5" t="s">
        <v>1327</v>
      </c>
      <c r="G274" s="5" t="s">
        <v>2076</v>
      </c>
      <c r="H274" s="5" t="s">
        <v>2120</v>
      </c>
    </row>
    <row r="275" customFormat="false" ht="15" hidden="false" customHeight="false" outlineLevel="0" collapsed="false">
      <c r="A275" s="5" t="s">
        <v>2121</v>
      </c>
      <c r="B275" s="5" t="s">
        <v>2122</v>
      </c>
      <c r="C275" s="5" t="s">
        <v>1339</v>
      </c>
      <c r="D275" s="5" t="s">
        <v>1340</v>
      </c>
      <c r="E275" s="5" t="s">
        <v>1496</v>
      </c>
      <c r="F275" s="5" t="s">
        <v>1351</v>
      </c>
      <c r="G275" s="5" t="s">
        <v>2047</v>
      </c>
      <c r="H275" s="5" t="s">
        <v>2123</v>
      </c>
    </row>
    <row r="276" customFormat="false" ht="15" hidden="false" customHeight="false" outlineLevel="0" collapsed="false">
      <c r="A276" s="37" t="n">
        <v>45821</v>
      </c>
      <c r="B276" s="5" t="s">
        <v>2124</v>
      </c>
      <c r="C276" s="5" t="s">
        <v>1406</v>
      </c>
      <c r="D276" s="5" t="s">
        <v>1407</v>
      </c>
      <c r="E276" s="5" t="s">
        <v>1363</v>
      </c>
      <c r="F276" s="5" t="s">
        <v>1341</v>
      </c>
      <c r="G276" s="5" t="s">
        <v>2072</v>
      </c>
      <c r="H276" s="5" t="s">
        <v>2125</v>
      </c>
    </row>
    <row r="277" customFormat="false" ht="15" hidden="false" customHeight="false" outlineLevel="0" collapsed="false">
      <c r="A277" s="5" t="s">
        <v>2126</v>
      </c>
      <c r="B277" s="5" t="s">
        <v>2127</v>
      </c>
      <c r="C277" s="5" t="s">
        <v>1332</v>
      </c>
      <c r="D277" s="5" t="s">
        <v>1685</v>
      </c>
      <c r="E277" s="5" t="s">
        <v>1334</v>
      </c>
      <c r="F277" s="5" t="s">
        <v>1374</v>
      </c>
      <c r="G277" s="5" t="s">
        <v>2068</v>
      </c>
      <c r="H277" s="5" t="n">
        <v>8032.64</v>
      </c>
    </row>
    <row r="278" customFormat="false" ht="15" hidden="false" customHeight="false" outlineLevel="0" collapsed="false">
      <c r="A278" s="5" t="s">
        <v>2128</v>
      </c>
      <c r="B278" s="5" t="s">
        <v>2129</v>
      </c>
      <c r="C278" s="5" t="s">
        <v>1332</v>
      </c>
      <c r="D278" s="5" t="s">
        <v>1333</v>
      </c>
      <c r="E278" s="5" t="s">
        <v>1468</v>
      </c>
      <c r="F278" s="5" t="s">
        <v>1335</v>
      </c>
      <c r="G278" s="5" t="s">
        <v>2043</v>
      </c>
      <c r="H278" s="5" t="s">
        <v>2130</v>
      </c>
    </row>
    <row r="279" customFormat="false" ht="15" hidden="false" customHeight="false" outlineLevel="0" collapsed="false">
      <c r="A279" s="5" t="s">
        <v>2131</v>
      </c>
      <c r="B279" s="5" t="s">
        <v>2132</v>
      </c>
      <c r="C279" s="5" t="n">
        <v>789</v>
      </c>
      <c r="D279" s="5" t="s">
        <v>1407</v>
      </c>
      <c r="E279" s="5" t="s">
        <v>1363</v>
      </c>
      <c r="F279" s="5" t="s">
        <v>1341</v>
      </c>
      <c r="G279" s="5" t="s">
        <v>2072</v>
      </c>
      <c r="H279" s="5" t="s">
        <v>2133</v>
      </c>
    </row>
    <row r="280" customFormat="false" ht="15" hidden="false" customHeight="false" outlineLevel="0" collapsed="false">
      <c r="A280" s="5" t="s">
        <v>2134</v>
      </c>
      <c r="B280" s="5" t="s">
        <v>2135</v>
      </c>
      <c r="C280" s="5" t="s">
        <v>1453</v>
      </c>
      <c r="D280" s="5" t="s">
        <v>1360</v>
      </c>
      <c r="E280" s="5" t="s">
        <v>1373</v>
      </c>
      <c r="F280" s="5" t="s">
        <v>1374</v>
      </c>
      <c r="G280" s="5" t="s">
        <v>2068</v>
      </c>
      <c r="H280" s="5" t="s">
        <v>2136</v>
      </c>
    </row>
    <row r="281" customFormat="false" ht="15" hidden="false" customHeight="false" outlineLevel="0" collapsed="false">
      <c r="A281" s="37" t="n">
        <v>45825</v>
      </c>
      <c r="B281" s="5" t="s">
        <v>2137</v>
      </c>
      <c r="C281" s="5" t="s">
        <v>1324</v>
      </c>
      <c r="D281" s="5" t="s">
        <v>1325</v>
      </c>
      <c r="E281" s="5" t="s">
        <v>1496</v>
      </c>
      <c r="F281" s="5" t="s">
        <v>1409</v>
      </c>
      <c r="G281" s="5" t="s">
        <v>2053</v>
      </c>
      <c r="H281" s="5" t="s">
        <v>2138</v>
      </c>
    </row>
    <row r="282" customFormat="false" ht="15" hidden="false" customHeight="false" outlineLevel="0" collapsed="false">
      <c r="A282" s="5" t="s">
        <v>2139</v>
      </c>
      <c r="B282" s="5" t="s">
        <v>2140</v>
      </c>
      <c r="C282" s="5" t="s">
        <v>1386</v>
      </c>
      <c r="D282" s="5" t="s">
        <v>1387</v>
      </c>
      <c r="E282" s="5" t="s">
        <v>1427</v>
      </c>
      <c r="F282" s="5" t="s">
        <v>1320</v>
      </c>
      <c r="G282" s="5" t="s">
        <v>2097</v>
      </c>
      <c r="H282" s="5" t="s">
        <v>2141</v>
      </c>
    </row>
    <row r="283" customFormat="false" ht="15" hidden="false" customHeight="false" outlineLevel="0" collapsed="false">
      <c r="A283" s="5" t="s">
        <v>2142</v>
      </c>
      <c r="B283" s="5" t="s">
        <v>2143</v>
      </c>
      <c r="C283" s="5" t="s">
        <v>1371</v>
      </c>
      <c r="D283" s="5" t="s">
        <v>1492</v>
      </c>
      <c r="E283" s="5" t="s">
        <v>1468</v>
      </c>
      <c r="F283" s="5" t="s">
        <v>1335</v>
      </c>
      <c r="G283" s="5" t="s">
        <v>2043</v>
      </c>
      <c r="H283" s="5" t="n">
        <v>3250.01</v>
      </c>
    </row>
    <row r="284" customFormat="false" ht="15" hidden="false" customHeight="false" outlineLevel="0" collapsed="false">
      <c r="A284" s="5" t="s">
        <v>2144</v>
      </c>
      <c r="B284" s="5" t="s">
        <v>2145</v>
      </c>
      <c r="C284" s="5" t="s">
        <v>1339</v>
      </c>
      <c r="D284" s="5" t="s">
        <v>1340</v>
      </c>
      <c r="E284" s="5" t="s">
        <v>1427</v>
      </c>
      <c r="F284" s="5" t="s">
        <v>1320</v>
      </c>
      <c r="G284" s="5" t="s">
        <v>2097</v>
      </c>
      <c r="H284" s="5" t="s">
        <v>2146</v>
      </c>
    </row>
    <row r="285" customFormat="false" ht="15" hidden="false" customHeight="false" outlineLevel="0" collapsed="false">
      <c r="A285" s="5" t="s">
        <v>2147</v>
      </c>
      <c r="B285" s="5" t="s">
        <v>2148</v>
      </c>
      <c r="C285" s="5" t="s">
        <v>1386</v>
      </c>
      <c r="D285" s="5" t="s">
        <v>1387</v>
      </c>
      <c r="E285" s="5" t="s">
        <v>1363</v>
      </c>
      <c r="F285" s="5" t="s">
        <v>1327</v>
      </c>
      <c r="G285" s="5" t="s">
        <v>2076</v>
      </c>
      <c r="H285" s="5" t="s">
        <v>2149</v>
      </c>
    </row>
    <row r="286" customFormat="false" ht="15" hidden="false" customHeight="false" outlineLevel="0" collapsed="false">
      <c r="A286" s="37" t="n">
        <v>45831</v>
      </c>
      <c r="B286" s="5" t="s">
        <v>2150</v>
      </c>
      <c r="C286" s="5" t="n">
        <v>4040</v>
      </c>
      <c r="D286" s="5" t="s">
        <v>1340</v>
      </c>
      <c r="E286" s="5" t="s">
        <v>1350</v>
      </c>
      <c r="F286" s="5" t="s">
        <v>1409</v>
      </c>
      <c r="G286" s="5" t="s">
        <v>2053</v>
      </c>
      <c r="H286" s="5" t="s">
        <v>2151</v>
      </c>
    </row>
    <row r="287" customFormat="false" ht="15" hidden="false" customHeight="false" outlineLevel="0" collapsed="false">
      <c r="A287" s="5" t="s">
        <v>2152</v>
      </c>
      <c r="B287" s="5" t="s">
        <v>2153</v>
      </c>
      <c r="C287" s="5" t="s">
        <v>1406</v>
      </c>
      <c r="D287" s="5" t="s">
        <v>1407</v>
      </c>
      <c r="E287" s="5" t="s">
        <v>1350</v>
      </c>
      <c r="F287" s="5" t="s">
        <v>1409</v>
      </c>
      <c r="G287" s="5" t="s">
        <v>2053</v>
      </c>
      <c r="H287" s="5" t="s">
        <v>2154</v>
      </c>
    </row>
    <row r="288" customFormat="false" ht="15" hidden="false" customHeight="false" outlineLevel="0" collapsed="false">
      <c r="A288" s="5" t="s">
        <v>2155</v>
      </c>
      <c r="B288" s="5" t="s">
        <v>2156</v>
      </c>
      <c r="C288" s="5" t="s">
        <v>1406</v>
      </c>
      <c r="D288" s="5" t="s">
        <v>1717</v>
      </c>
      <c r="E288" s="5" t="s">
        <v>1427</v>
      </c>
      <c r="F288" s="5" t="s">
        <v>1431</v>
      </c>
      <c r="G288" s="5" t="s">
        <v>2090</v>
      </c>
      <c r="H288" s="5" t="s">
        <v>2157</v>
      </c>
    </row>
    <row r="289" customFormat="false" ht="15" hidden="false" customHeight="false" outlineLevel="0" collapsed="false">
      <c r="A289" s="5" t="s">
        <v>2158</v>
      </c>
      <c r="B289" s="5" t="s">
        <v>2159</v>
      </c>
      <c r="C289" s="5" t="s">
        <v>1406</v>
      </c>
      <c r="D289" s="5" t="s">
        <v>1407</v>
      </c>
      <c r="E289" s="5" t="s">
        <v>1334</v>
      </c>
      <c r="F289" s="5" t="s">
        <v>1335</v>
      </c>
      <c r="G289" s="5" t="s">
        <v>2043</v>
      </c>
      <c r="H289" s="5" t="n">
        <v>8070.41</v>
      </c>
    </row>
    <row r="290" customFormat="false" ht="15" hidden="false" customHeight="false" outlineLevel="0" collapsed="false">
      <c r="A290" s="5" t="s">
        <v>2160</v>
      </c>
      <c r="B290" s="5" t="s">
        <v>2161</v>
      </c>
      <c r="C290" s="5" t="s">
        <v>1453</v>
      </c>
      <c r="D290" s="5" t="s">
        <v>1360</v>
      </c>
      <c r="E290" s="5" t="s">
        <v>1424</v>
      </c>
      <c r="F290" s="5" t="s">
        <v>1431</v>
      </c>
      <c r="G290" s="5" t="s">
        <v>2090</v>
      </c>
      <c r="H290" s="5" t="s">
        <v>2162</v>
      </c>
    </row>
    <row r="291" customFormat="false" ht="15" hidden="false" customHeight="false" outlineLevel="0" collapsed="false">
      <c r="A291" s="37" t="n">
        <v>45835</v>
      </c>
      <c r="B291" s="5" t="s">
        <v>2163</v>
      </c>
      <c r="C291" s="5" t="s">
        <v>1383</v>
      </c>
      <c r="D291" s="5" t="s">
        <v>1384</v>
      </c>
      <c r="E291" s="5" t="s">
        <v>1408</v>
      </c>
      <c r="F291" s="5" t="s">
        <v>1351</v>
      </c>
      <c r="G291" s="5" t="s">
        <v>2047</v>
      </c>
      <c r="H291" s="5" t="s">
        <v>2164</v>
      </c>
    </row>
    <row r="292" customFormat="false" ht="15" hidden="false" customHeight="false" outlineLevel="0" collapsed="false">
      <c r="A292" s="5" t="s">
        <v>2165</v>
      </c>
      <c r="B292" s="5" t="s">
        <v>2166</v>
      </c>
      <c r="C292" s="5" t="s">
        <v>1332</v>
      </c>
      <c r="D292" s="5" t="s">
        <v>1367</v>
      </c>
      <c r="E292" s="5" t="s">
        <v>1400</v>
      </c>
      <c r="F292" s="5" t="s">
        <v>1389</v>
      </c>
      <c r="G292" s="5" t="s">
        <v>2167</v>
      </c>
      <c r="H292" s="5" t="s">
        <v>2168</v>
      </c>
    </row>
    <row r="293" customFormat="false" ht="15" hidden="false" customHeight="false" outlineLevel="0" collapsed="false">
      <c r="A293" s="5" t="s">
        <v>2169</v>
      </c>
      <c r="B293" s="5" t="s">
        <v>2170</v>
      </c>
      <c r="C293" s="5" t="n">
        <v>1011</v>
      </c>
      <c r="D293" s="5" t="s">
        <v>1325</v>
      </c>
      <c r="E293" s="5" t="s">
        <v>1427</v>
      </c>
      <c r="F293" s="5" t="s">
        <v>1320</v>
      </c>
      <c r="G293" s="5" t="s">
        <v>2097</v>
      </c>
      <c r="H293" s="5" t="s">
        <v>2171</v>
      </c>
    </row>
    <row r="294" customFormat="false" ht="15" hidden="false" customHeight="false" outlineLevel="0" collapsed="false">
      <c r="A294" s="5" t="s">
        <v>2172</v>
      </c>
      <c r="B294" s="5" t="s">
        <v>2173</v>
      </c>
      <c r="C294" s="5" t="s">
        <v>1453</v>
      </c>
      <c r="D294" s="5" t="s">
        <v>1360</v>
      </c>
      <c r="E294" s="5" t="s">
        <v>1363</v>
      </c>
      <c r="F294" s="5" t="s">
        <v>1341</v>
      </c>
      <c r="G294" s="5" t="s">
        <v>2072</v>
      </c>
      <c r="H294" s="5" t="s">
        <v>2174</v>
      </c>
    </row>
    <row r="295" customFormat="false" ht="15" hidden="false" customHeight="false" outlineLevel="0" collapsed="false">
      <c r="A295" s="5" t="s">
        <v>2175</v>
      </c>
      <c r="B295" s="5" t="s">
        <v>2176</v>
      </c>
      <c r="C295" s="5" t="s">
        <v>1406</v>
      </c>
      <c r="D295" s="5" t="s">
        <v>1407</v>
      </c>
      <c r="E295" s="5" t="s">
        <v>1346</v>
      </c>
      <c r="F295" s="5" t="s">
        <v>1327</v>
      </c>
      <c r="G295" s="5" t="s">
        <v>2076</v>
      </c>
      <c r="H295" s="5" t="n">
        <v>2618.98</v>
      </c>
    </row>
    <row r="296" customFormat="false" ht="15" hidden="false" customHeight="false" outlineLevel="0" collapsed="false">
      <c r="A296" s="37" t="n">
        <v>45835</v>
      </c>
      <c r="B296" s="5" t="s">
        <v>2177</v>
      </c>
      <c r="C296" s="5" t="s">
        <v>1383</v>
      </c>
      <c r="D296" s="5" t="s">
        <v>1384</v>
      </c>
      <c r="E296" s="5" t="s">
        <v>1363</v>
      </c>
      <c r="F296" s="5" t="s">
        <v>1327</v>
      </c>
      <c r="G296" s="5" t="s">
        <v>2076</v>
      </c>
      <c r="H296" s="5" t="s">
        <v>2178</v>
      </c>
    </row>
    <row r="297" customFormat="false" ht="15" hidden="false" customHeight="false" outlineLevel="0" collapsed="false">
      <c r="A297" s="5" t="s">
        <v>2179</v>
      </c>
      <c r="B297" s="5" t="s">
        <v>2180</v>
      </c>
      <c r="C297" s="5" t="s">
        <v>1386</v>
      </c>
      <c r="D297" s="5" t="s">
        <v>1387</v>
      </c>
      <c r="E297" s="5" t="s">
        <v>1400</v>
      </c>
      <c r="F297" s="5" t="s">
        <v>1401</v>
      </c>
      <c r="G297" s="5" t="s">
        <v>2060</v>
      </c>
      <c r="H297" s="5" t="s">
        <v>2181</v>
      </c>
    </row>
    <row r="298" customFormat="false" ht="15" hidden="false" customHeight="false" outlineLevel="0" collapsed="false">
      <c r="A298" s="5" t="s">
        <v>2182</v>
      </c>
      <c r="B298" s="5" t="s">
        <v>2183</v>
      </c>
      <c r="C298" s="5" t="s">
        <v>1406</v>
      </c>
      <c r="D298" s="5" t="s">
        <v>1407</v>
      </c>
      <c r="E298" s="5" t="s">
        <v>1350</v>
      </c>
      <c r="F298" s="5" t="s">
        <v>1409</v>
      </c>
      <c r="G298" s="5" t="s">
        <v>2053</v>
      </c>
      <c r="H298" s="5" t="s">
        <v>2184</v>
      </c>
    </row>
    <row r="299" customFormat="false" ht="15" hidden="false" customHeight="false" outlineLevel="0" collapsed="false">
      <c r="A299" s="5" t="s">
        <v>2185</v>
      </c>
      <c r="B299" s="5" t="s">
        <v>2186</v>
      </c>
      <c r="C299" s="5" t="s">
        <v>1383</v>
      </c>
      <c r="D299" s="5" t="s">
        <v>1423</v>
      </c>
      <c r="E299" s="5" t="s">
        <v>1408</v>
      </c>
      <c r="F299" s="5" t="s">
        <v>1351</v>
      </c>
      <c r="G299" s="5" t="s">
        <v>2047</v>
      </c>
      <c r="H299" s="5" t="s">
        <v>2187</v>
      </c>
    </row>
    <row r="300" customFormat="false" ht="15" hidden="false" customHeight="false" outlineLevel="0" collapsed="false">
      <c r="A300" s="5" t="s">
        <v>2188</v>
      </c>
      <c r="B300" s="5"/>
      <c r="C300" s="5"/>
      <c r="D300" s="5"/>
      <c r="E300" s="5"/>
      <c r="F300" s="5"/>
      <c r="G300" s="5"/>
      <c r="H300" s="5" t="s">
        <v>2189</v>
      </c>
    </row>
    <row r="301" customFormat="false" ht="15" hidden="false" customHeight="false" outlineLevel="0" collapsed="false">
      <c r="A301" s="5" t="s">
        <v>2190</v>
      </c>
      <c r="B301" s="5" t="s">
        <v>2191</v>
      </c>
      <c r="C301" s="5" t="n">
        <v>456</v>
      </c>
      <c r="D301" s="5" t="s">
        <v>1333</v>
      </c>
      <c r="E301" s="5" t="s">
        <v>1334</v>
      </c>
      <c r="F301" s="5" t="s">
        <v>1335</v>
      </c>
      <c r="G301" s="5" t="s">
        <v>2192</v>
      </c>
      <c r="H301" s="5" t="s">
        <v>2193</v>
      </c>
    </row>
    <row r="302" customFormat="false" ht="15" hidden="false" customHeight="false" outlineLevel="0" collapsed="false">
      <c r="A302" s="37" t="n">
        <v>45839</v>
      </c>
      <c r="B302" s="5" t="s">
        <v>2194</v>
      </c>
      <c r="C302" s="5" t="s">
        <v>1406</v>
      </c>
      <c r="D302" s="5" t="s">
        <v>1732</v>
      </c>
      <c r="E302" s="5" t="s">
        <v>1373</v>
      </c>
      <c r="F302" s="5" t="s">
        <v>1374</v>
      </c>
      <c r="G302" s="5" t="s">
        <v>2195</v>
      </c>
      <c r="H302" s="5" t="n">
        <v>7088.12</v>
      </c>
    </row>
    <row r="303" customFormat="false" ht="15" hidden="false" customHeight="false" outlineLevel="0" collapsed="false">
      <c r="A303" s="5" t="s">
        <v>2196</v>
      </c>
      <c r="B303" s="5" t="s">
        <v>2197</v>
      </c>
      <c r="C303" s="5" t="s">
        <v>1324</v>
      </c>
      <c r="D303" s="5" t="s">
        <v>1325</v>
      </c>
      <c r="E303" s="5" t="s">
        <v>1373</v>
      </c>
      <c r="F303" s="5" t="s">
        <v>1374</v>
      </c>
      <c r="G303" s="5" t="s">
        <v>2195</v>
      </c>
      <c r="H303" s="5" t="s">
        <v>2198</v>
      </c>
    </row>
    <row r="304" customFormat="false" ht="15" hidden="false" customHeight="false" outlineLevel="0" collapsed="false">
      <c r="A304" s="5" t="s">
        <v>2199</v>
      </c>
      <c r="B304" s="5" t="s">
        <v>2200</v>
      </c>
      <c r="C304" s="5" t="s">
        <v>1339</v>
      </c>
      <c r="D304" s="5" t="s">
        <v>1340</v>
      </c>
      <c r="E304" s="5" t="s">
        <v>1496</v>
      </c>
      <c r="F304" s="5" t="s">
        <v>1409</v>
      </c>
      <c r="G304" s="5" t="s">
        <v>2201</v>
      </c>
      <c r="H304" s="5" t="s">
        <v>2202</v>
      </c>
    </row>
    <row r="305" customFormat="false" ht="15" hidden="false" customHeight="false" outlineLevel="0" collapsed="false">
      <c r="A305" s="5" t="s">
        <v>2203</v>
      </c>
      <c r="B305" s="5" t="s">
        <v>2204</v>
      </c>
      <c r="C305" s="5" t="s">
        <v>1324</v>
      </c>
      <c r="D305" s="5" t="s">
        <v>1325</v>
      </c>
      <c r="E305" s="5" t="s">
        <v>1468</v>
      </c>
      <c r="F305" s="5" t="s">
        <v>1335</v>
      </c>
      <c r="G305" s="5" t="s">
        <v>2192</v>
      </c>
      <c r="H305" s="5" t="s">
        <v>2205</v>
      </c>
    </row>
    <row r="306" customFormat="false" ht="15" hidden="false" customHeight="false" outlineLevel="0" collapsed="false">
      <c r="A306" s="5" t="s">
        <v>2206</v>
      </c>
      <c r="B306" s="5" t="s">
        <v>2207</v>
      </c>
      <c r="C306" s="5" t="s">
        <v>1406</v>
      </c>
      <c r="D306" s="5" t="s">
        <v>1407</v>
      </c>
      <c r="E306" s="5" t="s">
        <v>1373</v>
      </c>
      <c r="F306" s="5" t="s">
        <v>1374</v>
      </c>
      <c r="G306" s="5" t="s">
        <v>2195</v>
      </c>
      <c r="H306" s="5" t="s">
        <v>2208</v>
      </c>
    </row>
    <row r="307" customFormat="false" ht="15" hidden="false" customHeight="false" outlineLevel="0" collapsed="false">
      <c r="A307" s="37" t="n">
        <v>45841</v>
      </c>
      <c r="B307" s="5" t="s">
        <v>2209</v>
      </c>
      <c r="C307" s="5" t="s">
        <v>1324</v>
      </c>
      <c r="D307" s="5" t="s">
        <v>1325</v>
      </c>
      <c r="E307" s="5" t="s">
        <v>1373</v>
      </c>
      <c r="F307" s="5" t="s">
        <v>1335</v>
      </c>
      <c r="G307" s="5" t="s">
        <v>2192</v>
      </c>
      <c r="H307" s="5" t="s">
        <v>2210</v>
      </c>
    </row>
    <row r="308" customFormat="false" ht="15" hidden="false" customHeight="false" outlineLevel="0" collapsed="false">
      <c r="A308" s="5" t="s">
        <v>2211</v>
      </c>
      <c r="B308" s="5" t="s">
        <v>2212</v>
      </c>
      <c r="C308" s="5" t="n">
        <v>3003</v>
      </c>
      <c r="D308" s="5" t="s">
        <v>1372</v>
      </c>
      <c r="E308" s="5" t="s">
        <v>1416</v>
      </c>
      <c r="F308" s="5" t="s">
        <v>1335</v>
      </c>
      <c r="G308" s="5" t="s">
        <v>2192</v>
      </c>
      <c r="H308" s="5" t="n">
        <v>5270.38</v>
      </c>
    </row>
    <row r="309" customFormat="false" ht="15" hidden="false" customHeight="false" outlineLevel="0" collapsed="false">
      <c r="A309" s="5" t="s">
        <v>2213</v>
      </c>
      <c r="B309" s="5" t="s">
        <v>2214</v>
      </c>
      <c r="C309" s="5" t="s">
        <v>1406</v>
      </c>
      <c r="D309" s="5" t="s">
        <v>1407</v>
      </c>
      <c r="E309" s="5" t="s">
        <v>1496</v>
      </c>
      <c r="F309" s="5" t="s">
        <v>1409</v>
      </c>
      <c r="G309" s="5" t="s">
        <v>2201</v>
      </c>
      <c r="H309" s="5" t="s">
        <v>2215</v>
      </c>
    </row>
    <row r="310" customFormat="false" ht="15" hidden="false" customHeight="false" outlineLevel="0" collapsed="false">
      <c r="A310" s="5" t="s">
        <v>2216</v>
      </c>
      <c r="B310" s="5" t="s">
        <v>2217</v>
      </c>
      <c r="C310" s="5" t="s">
        <v>1386</v>
      </c>
      <c r="D310" s="5" t="s">
        <v>1387</v>
      </c>
      <c r="E310" s="5" t="s">
        <v>1496</v>
      </c>
      <c r="F310" s="5" t="s">
        <v>1351</v>
      </c>
      <c r="G310" s="5" t="s">
        <v>2218</v>
      </c>
      <c r="H310" s="5" t="s">
        <v>2219</v>
      </c>
    </row>
    <row r="311" customFormat="false" ht="15" hidden="false" customHeight="false" outlineLevel="0" collapsed="false">
      <c r="A311" s="5" t="s">
        <v>2220</v>
      </c>
      <c r="B311" s="5" t="s">
        <v>2221</v>
      </c>
      <c r="C311" s="5" t="s">
        <v>1332</v>
      </c>
      <c r="D311" s="5" t="s">
        <v>2222</v>
      </c>
      <c r="E311" s="5" t="s">
        <v>1350</v>
      </c>
      <c r="F311" s="5" t="s">
        <v>1409</v>
      </c>
      <c r="G311" s="5" t="s">
        <v>2201</v>
      </c>
      <c r="H311" s="5" t="s">
        <v>2223</v>
      </c>
    </row>
    <row r="312" customFormat="false" ht="15" hidden="false" customHeight="false" outlineLevel="0" collapsed="false">
      <c r="A312" s="37" t="n">
        <v>45846</v>
      </c>
      <c r="B312" s="5" t="s">
        <v>2224</v>
      </c>
      <c r="C312" s="5" t="s">
        <v>1356</v>
      </c>
      <c r="D312" s="5" t="s">
        <v>1357</v>
      </c>
      <c r="E312" s="5" t="s">
        <v>1326</v>
      </c>
      <c r="F312" s="5" t="s">
        <v>1327</v>
      </c>
      <c r="G312" s="5" t="s">
        <v>2225</v>
      </c>
      <c r="H312" s="5" t="s">
        <v>2226</v>
      </c>
    </row>
    <row r="313" customFormat="false" ht="15" hidden="false" customHeight="false" outlineLevel="0" collapsed="false">
      <c r="A313" s="5" t="s">
        <v>2227</v>
      </c>
      <c r="B313" s="5" t="s">
        <v>2228</v>
      </c>
      <c r="C313" s="5" t="s">
        <v>1356</v>
      </c>
      <c r="D313" s="5" t="s">
        <v>1357</v>
      </c>
      <c r="E313" s="5" t="s">
        <v>1496</v>
      </c>
      <c r="F313" s="5" t="s">
        <v>1351</v>
      </c>
      <c r="G313" s="5" t="s">
        <v>2218</v>
      </c>
      <c r="H313" s="5" t="s">
        <v>2229</v>
      </c>
    </row>
    <row r="314" customFormat="false" ht="15" hidden="false" customHeight="false" outlineLevel="0" collapsed="false">
      <c r="A314" s="5" t="s">
        <v>1309</v>
      </c>
      <c r="B314" s="5" t="s">
        <v>1310</v>
      </c>
      <c r="C314" s="5" t="s">
        <v>1311</v>
      </c>
      <c r="D314" s="5" t="s">
        <v>1312</v>
      </c>
      <c r="E314" s="5" t="s">
        <v>1313</v>
      </c>
      <c r="F314" s="5" t="s">
        <v>1314</v>
      </c>
      <c r="G314" s="5" t="s">
        <v>1315</v>
      </c>
      <c r="H314" s="5" t="s">
        <v>90</v>
      </c>
    </row>
    <row r="315" customFormat="false" ht="15" hidden="false" customHeight="false" outlineLevel="0" collapsed="false">
      <c r="A315" s="5" t="s">
        <v>2230</v>
      </c>
      <c r="B315" s="5" t="s">
        <v>2231</v>
      </c>
      <c r="C315" s="5" t="s">
        <v>1453</v>
      </c>
      <c r="D315" s="5" t="s">
        <v>1360</v>
      </c>
      <c r="E315" s="5" t="s">
        <v>1388</v>
      </c>
      <c r="F315" s="5" t="s">
        <v>1389</v>
      </c>
      <c r="G315" s="5" t="s">
        <v>2232</v>
      </c>
      <c r="H315" s="5" t="n">
        <v>505.59</v>
      </c>
    </row>
    <row r="316" customFormat="false" ht="15" hidden="false" customHeight="false" outlineLevel="0" collapsed="false">
      <c r="A316" s="5" t="s">
        <v>2233</v>
      </c>
      <c r="B316" s="5" t="s">
        <v>2234</v>
      </c>
      <c r="C316" s="5" t="n">
        <v>123</v>
      </c>
      <c r="D316" s="5" t="s">
        <v>1360</v>
      </c>
      <c r="E316" s="5" t="s">
        <v>1408</v>
      </c>
      <c r="F316" s="5" t="s">
        <v>1351</v>
      </c>
      <c r="G316" s="5" t="s">
        <v>2218</v>
      </c>
      <c r="H316" s="5" t="s">
        <v>2235</v>
      </c>
    </row>
    <row r="317" customFormat="false" ht="15" hidden="false" customHeight="false" outlineLevel="0" collapsed="false">
      <c r="A317" s="5" t="s">
        <v>2236</v>
      </c>
      <c r="B317" s="5" t="s">
        <v>2237</v>
      </c>
      <c r="C317" s="5" t="s">
        <v>1406</v>
      </c>
      <c r="D317" s="5" t="s">
        <v>1407</v>
      </c>
      <c r="E317" s="5" t="s">
        <v>1388</v>
      </c>
      <c r="F317" s="5" t="s">
        <v>1389</v>
      </c>
      <c r="G317" s="5" t="s">
        <v>2232</v>
      </c>
      <c r="H317" s="5" t="s">
        <v>2238</v>
      </c>
    </row>
    <row r="318" customFormat="false" ht="15" hidden="false" customHeight="false" outlineLevel="0" collapsed="false">
      <c r="A318" s="37" t="n">
        <v>45848</v>
      </c>
      <c r="B318" s="5" t="s">
        <v>2239</v>
      </c>
      <c r="C318" s="5" t="s">
        <v>1332</v>
      </c>
      <c r="D318" s="5" t="s">
        <v>1333</v>
      </c>
      <c r="E318" s="5" t="s">
        <v>1373</v>
      </c>
      <c r="F318" s="5" t="s">
        <v>1335</v>
      </c>
      <c r="G318" s="5" t="s">
        <v>2192</v>
      </c>
      <c r="H318" s="5" t="s">
        <v>2240</v>
      </c>
    </row>
    <row r="319" customFormat="false" ht="15" hidden="false" customHeight="false" outlineLevel="0" collapsed="false">
      <c r="A319" s="5" t="s">
        <v>2241</v>
      </c>
      <c r="B319" s="5" t="s">
        <v>2242</v>
      </c>
      <c r="C319" s="5" t="s">
        <v>1332</v>
      </c>
      <c r="D319" s="5" t="s">
        <v>1333</v>
      </c>
      <c r="E319" s="5" t="s">
        <v>1346</v>
      </c>
      <c r="F319" s="5" t="s">
        <v>1341</v>
      </c>
      <c r="G319" s="5" t="s">
        <v>2243</v>
      </c>
      <c r="H319" s="5" t="s">
        <v>2244</v>
      </c>
    </row>
    <row r="320" customFormat="false" ht="15" hidden="false" customHeight="false" outlineLevel="0" collapsed="false">
      <c r="A320" s="5" t="s">
        <v>2245</v>
      </c>
      <c r="B320" s="5" t="s">
        <v>2246</v>
      </c>
      <c r="C320" s="5" t="s">
        <v>1371</v>
      </c>
      <c r="D320" s="5" t="s">
        <v>1372</v>
      </c>
      <c r="E320" s="5" t="s">
        <v>1416</v>
      </c>
      <c r="F320" s="5" t="s">
        <v>1374</v>
      </c>
      <c r="G320" s="5" t="s">
        <v>2195</v>
      </c>
      <c r="H320" s="5" t="s">
        <v>2247</v>
      </c>
    </row>
    <row r="321" customFormat="false" ht="15" hidden="false" customHeight="false" outlineLevel="0" collapsed="false">
      <c r="A321" s="5" t="s">
        <v>2248</v>
      </c>
      <c r="B321" s="5" t="s">
        <v>2249</v>
      </c>
      <c r="C321" s="5" t="s">
        <v>1383</v>
      </c>
      <c r="D321" s="5" t="s">
        <v>1965</v>
      </c>
      <c r="E321" s="5" t="s">
        <v>1416</v>
      </c>
      <c r="F321" s="5" t="s">
        <v>1374</v>
      </c>
      <c r="G321" s="5" t="s">
        <v>2195</v>
      </c>
      <c r="H321" s="5" t="n">
        <v>5451.13</v>
      </c>
    </row>
    <row r="322" customFormat="false" ht="15" hidden="false" customHeight="false" outlineLevel="0" collapsed="false">
      <c r="A322" s="5" t="s">
        <v>2250</v>
      </c>
      <c r="B322" s="5" t="s">
        <v>2251</v>
      </c>
      <c r="C322" s="5" t="s">
        <v>1371</v>
      </c>
      <c r="D322" s="5" t="s">
        <v>1372</v>
      </c>
      <c r="E322" s="5" t="s">
        <v>1400</v>
      </c>
      <c r="F322" s="5" t="s">
        <v>1401</v>
      </c>
      <c r="G322" s="5" t="s">
        <v>2252</v>
      </c>
      <c r="H322" s="5" t="s">
        <v>2253</v>
      </c>
    </row>
    <row r="323" customFormat="false" ht="15" hidden="false" customHeight="false" outlineLevel="0" collapsed="false">
      <c r="A323" s="37" t="n">
        <v>45849</v>
      </c>
      <c r="B323" s="5" t="s">
        <v>2254</v>
      </c>
      <c r="C323" s="5" t="n">
        <v>1011</v>
      </c>
      <c r="D323" s="5" t="s">
        <v>1458</v>
      </c>
      <c r="E323" s="5" t="s">
        <v>1363</v>
      </c>
      <c r="F323" s="5" t="s">
        <v>1341</v>
      </c>
      <c r="G323" s="5" t="s">
        <v>2243</v>
      </c>
      <c r="H323" s="5" t="s">
        <v>2255</v>
      </c>
    </row>
    <row r="324" customFormat="false" ht="15" hidden="false" customHeight="false" outlineLevel="0" collapsed="false">
      <c r="A324" s="5" t="s">
        <v>2256</v>
      </c>
      <c r="B324" s="5" t="s">
        <v>2257</v>
      </c>
      <c r="C324" s="5" t="s">
        <v>1383</v>
      </c>
      <c r="D324" s="5" t="s">
        <v>1384</v>
      </c>
      <c r="E324" s="5" t="s">
        <v>1346</v>
      </c>
      <c r="F324" s="5" t="s">
        <v>1341</v>
      </c>
      <c r="G324" s="5" t="s">
        <v>2243</v>
      </c>
      <c r="H324" s="5" t="s">
        <v>2258</v>
      </c>
    </row>
    <row r="325" customFormat="false" ht="15" hidden="false" customHeight="false" outlineLevel="0" collapsed="false">
      <c r="A325" s="5" t="s">
        <v>2259</v>
      </c>
      <c r="B325" s="5" t="s">
        <v>2260</v>
      </c>
      <c r="C325" s="5" t="s">
        <v>1339</v>
      </c>
      <c r="D325" s="5" t="s">
        <v>1340</v>
      </c>
      <c r="E325" s="5" t="s">
        <v>1468</v>
      </c>
      <c r="F325" s="5" t="s">
        <v>1335</v>
      </c>
      <c r="G325" s="5" t="s">
        <v>2192</v>
      </c>
      <c r="H325" s="5" t="s">
        <v>2261</v>
      </c>
    </row>
    <row r="326" customFormat="false" ht="15" hidden="false" customHeight="false" outlineLevel="0" collapsed="false">
      <c r="A326" s="5" t="s">
        <v>2262</v>
      </c>
      <c r="B326" s="5" t="s">
        <v>2263</v>
      </c>
      <c r="C326" s="5" t="s">
        <v>1324</v>
      </c>
      <c r="D326" s="5" t="s">
        <v>1325</v>
      </c>
      <c r="E326" s="5" t="s">
        <v>1424</v>
      </c>
      <c r="F326" s="5" t="s">
        <v>1431</v>
      </c>
      <c r="G326" s="5" t="s">
        <v>2264</v>
      </c>
      <c r="H326" s="5" t="s">
        <v>2265</v>
      </c>
    </row>
    <row r="327" customFormat="false" ht="15" hidden="false" customHeight="false" outlineLevel="0" collapsed="false">
      <c r="A327" s="5" t="s">
        <v>2266</v>
      </c>
      <c r="B327" s="5" t="s">
        <v>2267</v>
      </c>
      <c r="C327" s="5" t="s">
        <v>1339</v>
      </c>
      <c r="D327" s="5" t="s">
        <v>1340</v>
      </c>
      <c r="E327" s="5" t="s">
        <v>1334</v>
      </c>
      <c r="F327" s="5" t="s">
        <v>1335</v>
      </c>
      <c r="G327" s="5" t="s">
        <v>2192</v>
      </c>
      <c r="H327" s="5" t="n">
        <v>4871.56</v>
      </c>
    </row>
    <row r="328" customFormat="false" ht="15" hidden="false" customHeight="false" outlineLevel="0" collapsed="false">
      <c r="A328" s="5" t="s">
        <v>2266</v>
      </c>
      <c r="B328" s="5" t="s">
        <v>2267</v>
      </c>
      <c r="C328" s="5" t="s">
        <v>1339</v>
      </c>
      <c r="D328" s="5" t="s">
        <v>1340</v>
      </c>
      <c r="E328" s="5" t="s">
        <v>1334</v>
      </c>
      <c r="F328" s="5" t="s">
        <v>1335</v>
      </c>
      <c r="G328" s="5" t="s">
        <v>2192</v>
      </c>
      <c r="H328" s="5" t="n">
        <v>4871.56</v>
      </c>
    </row>
    <row r="329" customFormat="false" ht="15" hidden="false" customHeight="false" outlineLevel="0" collapsed="false">
      <c r="A329" s="5" t="s">
        <v>2268</v>
      </c>
      <c r="B329" s="5" t="s">
        <v>2269</v>
      </c>
      <c r="C329" s="5" t="s">
        <v>1386</v>
      </c>
      <c r="D329" s="5" t="s">
        <v>1387</v>
      </c>
      <c r="E329" s="5" t="s">
        <v>1326</v>
      </c>
      <c r="F329" s="5" t="s">
        <v>1327</v>
      </c>
      <c r="G329" s="5" t="s">
        <v>2225</v>
      </c>
      <c r="H329" s="5" t="s">
        <v>2270</v>
      </c>
    </row>
    <row r="330" customFormat="false" ht="15" hidden="false" customHeight="false" outlineLevel="0" collapsed="false">
      <c r="A330" s="5" t="s">
        <v>2271</v>
      </c>
      <c r="B330" s="5" t="s">
        <v>2272</v>
      </c>
      <c r="C330" s="5" t="n">
        <v>2020</v>
      </c>
      <c r="D330" s="5" t="s">
        <v>2015</v>
      </c>
      <c r="E330" s="5" t="s">
        <v>1496</v>
      </c>
      <c r="F330" s="5" t="s">
        <v>1351</v>
      </c>
      <c r="G330" s="5" t="s">
        <v>2218</v>
      </c>
      <c r="H330" s="5" t="s">
        <v>2273</v>
      </c>
    </row>
    <row r="331" customFormat="false" ht="15" hidden="false" customHeight="false" outlineLevel="0" collapsed="false">
      <c r="A331" s="5" t="s">
        <v>2274</v>
      </c>
      <c r="B331" s="5" t="s">
        <v>2275</v>
      </c>
      <c r="C331" s="5" t="s">
        <v>1356</v>
      </c>
      <c r="D331" s="5" t="s">
        <v>1357</v>
      </c>
      <c r="E331" s="5" t="s">
        <v>1427</v>
      </c>
      <c r="F331" s="5" t="s">
        <v>1431</v>
      </c>
      <c r="G331" s="5" t="s">
        <v>2264</v>
      </c>
      <c r="H331" s="5" t="s">
        <v>2276</v>
      </c>
    </row>
    <row r="332" customFormat="false" ht="15" hidden="false" customHeight="false" outlineLevel="0" collapsed="false">
      <c r="A332" s="5" t="s">
        <v>2277</v>
      </c>
      <c r="B332" s="5" t="s">
        <v>2278</v>
      </c>
      <c r="C332" s="5" t="s">
        <v>1339</v>
      </c>
      <c r="D332" s="5" t="s">
        <v>1340</v>
      </c>
      <c r="E332" s="5" t="s">
        <v>1496</v>
      </c>
      <c r="F332" s="5" t="s">
        <v>1351</v>
      </c>
      <c r="G332" s="5" t="s">
        <v>2218</v>
      </c>
      <c r="H332" s="5" t="s">
        <v>2279</v>
      </c>
    </row>
    <row r="333" customFormat="false" ht="15" hidden="false" customHeight="false" outlineLevel="0" collapsed="false">
      <c r="A333" s="37" t="n">
        <v>45853</v>
      </c>
      <c r="B333" s="5" t="s">
        <v>2280</v>
      </c>
      <c r="C333" s="5" t="s">
        <v>1453</v>
      </c>
      <c r="D333" s="5" t="s">
        <v>1360</v>
      </c>
      <c r="E333" s="5" t="s">
        <v>1334</v>
      </c>
      <c r="F333" s="5" t="s">
        <v>1374</v>
      </c>
      <c r="G333" s="5" t="s">
        <v>2195</v>
      </c>
      <c r="H333" s="5" t="n">
        <v>1870.94</v>
      </c>
    </row>
    <row r="334" customFormat="false" ht="15" hidden="false" customHeight="false" outlineLevel="0" collapsed="false">
      <c r="A334" s="5" t="s">
        <v>2281</v>
      </c>
      <c r="B334" s="5" t="s">
        <v>2282</v>
      </c>
      <c r="C334" s="5" t="s">
        <v>1324</v>
      </c>
      <c r="D334" s="5" t="s">
        <v>1458</v>
      </c>
      <c r="E334" s="5" t="s">
        <v>1388</v>
      </c>
      <c r="F334" s="5" t="s">
        <v>1401</v>
      </c>
      <c r="G334" s="5" t="s">
        <v>2252</v>
      </c>
      <c r="H334" s="5" t="s">
        <v>2283</v>
      </c>
    </row>
    <row r="335" customFormat="false" ht="15" hidden="false" customHeight="false" outlineLevel="0" collapsed="false">
      <c r="A335" s="5" t="s">
        <v>2284</v>
      </c>
      <c r="B335" s="5" t="s">
        <v>2285</v>
      </c>
      <c r="C335" s="5" t="s">
        <v>1332</v>
      </c>
      <c r="D335" s="5" t="s">
        <v>1333</v>
      </c>
      <c r="E335" s="5" t="s">
        <v>1363</v>
      </c>
      <c r="F335" s="5" t="s">
        <v>1341</v>
      </c>
      <c r="G335" s="5" t="s">
        <v>2243</v>
      </c>
      <c r="H335" s="5" t="s">
        <v>2286</v>
      </c>
    </row>
    <row r="336" customFormat="false" ht="15" hidden="false" customHeight="false" outlineLevel="0" collapsed="false">
      <c r="A336" s="5" t="s">
        <v>2287</v>
      </c>
      <c r="B336" s="5" t="s">
        <v>2288</v>
      </c>
      <c r="C336" s="5" t="s">
        <v>1339</v>
      </c>
      <c r="D336" s="5" t="s">
        <v>1340</v>
      </c>
      <c r="E336" s="5" t="s">
        <v>1373</v>
      </c>
      <c r="F336" s="5" t="s">
        <v>1374</v>
      </c>
      <c r="G336" s="5" t="s">
        <v>2195</v>
      </c>
      <c r="H336" s="5" t="s">
        <v>2289</v>
      </c>
    </row>
    <row r="337" customFormat="false" ht="15" hidden="false" customHeight="false" outlineLevel="0" collapsed="false">
      <c r="A337" s="5" t="s">
        <v>2290</v>
      </c>
      <c r="B337" s="5" t="s">
        <v>2291</v>
      </c>
      <c r="C337" s="5" t="n">
        <v>456</v>
      </c>
      <c r="D337" s="5" t="s">
        <v>1333</v>
      </c>
      <c r="E337" s="5" t="s">
        <v>1416</v>
      </c>
      <c r="F337" s="5" t="s">
        <v>1374</v>
      </c>
      <c r="G337" s="5" t="s">
        <v>2195</v>
      </c>
      <c r="H337" s="5" t="s">
        <v>2292</v>
      </c>
    </row>
    <row r="338" customFormat="false" ht="15" hidden="false" customHeight="false" outlineLevel="0" collapsed="false">
      <c r="A338" s="37" t="n">
        <v>45855</v>
      </c>
      <c r="B338" s="5" t="s">
        <v>2293</v>
      </c>
      <c r="C338" s="5" t="s">
        <v>1332</v>
      </c>
      <c r="D338" s="5" t="s">
        <v>1333</v>
      </c>
      <c r="E338" s="5" t="s">
        <v>1468</v>
      </c>
      <c r="F338" s="5" t="s">
        <v>1335</v>
      </c>
      <c r="G338" s="5" t="s">
        <v>2192</v>
      </c>
      <c r="H338" s="5" t="s">
        <v>2294</v>
      </c>
    </row>
    <row r="339" customFormat="false" ht="15" hidden="false" customHeight="false" outlineLevel="0" collapsed="false">
      <c r="A339" s="5" t="s">
        <v>2295</v>
      </c>
      <c r="B339" s="5" t="s">
        <v>2296</v>
      </c>
      <c r="C339" s="5" t="s">
        <v>1386</v>
      </c>
      <c r="D339" s="5" t="s">
        <v>2015</v>
      </c>
      <c r="E339" s="5" t="s">
        <v>1363</v>
      </c>
      <c r="F339" s="5" t="s">
        <v>1341</v>
      </c>
      <c r="G339" s="5" t="s">
        <v>2243</v>
      </c>
      <c r="H339" s="5" t="n">
        <v>5333.11</v>
      </c>
    </row>
    <row r="340" customFormat="false" ht="15" hidden="false" customHeight="false" outlineLevel="0" collapsed="false">
      <c r="A340" s="5" t="s">
        <v>2297</v>
      </c>
      <c r="B340" s="5" t="s">
        <v>2298</v>
      </c>
      <c r="C340" s="5" t="s">
        <v>1332</v>
      </c>
      <c r="D340" s="5" t="s">
        <v>1333</v>
      </c>
      <c r="E340" s="5" t="s">
        <v>1373</v>
      </c>
      <c r="F340" s="5" t="s">
        <v>1374</v>
      </c>
      <c r="G340" s="5" t="s">
        <v>2195</v>
      </c>
      <c r="H340" s="5" t="s">
        <v>2299</v>
      </c>
    </row>
    <row r="341" customFormat="false" ht="15" hidden="false" customHeight="false" outlineLevel="0" collapsed="false">
      <c r="A341" s="5" t="s">
        <v>2300</v>
      </c>
      <c r="B341" s="5" t="s">
        <v>2301</v>
      </c>
      <c r="C341" s="5" t="s">
        <v>1371</v>
      </c>
      <c r="D341" s="5" t="s">
        <v>1372</v>
      </c>
      <c r="E341" s="5" t="s">
        <v>1363</v>
      </c>
      <c r="F341" s="5" t="s">
        <v>1341</v>
      </c>
      <c r="G341" s="5" t="s">
        <v>2243</v>
      </c>
      <c r="H341" s="5" t="s">
        <v>2302</v>
      </c>
    </row>
    <row r="342" customFormat="false" ht="15" hidden="false" customHeight="false" outlineLevel="0" collapsed="false">
      <c r="A342" s="5" t="s">
        <v>2303</v>
      </c>
      <c r="B342" s="5" t="s">
        <v>2304</v>
      </c>
      <c r="C342" s="5" t="s">
        <v>1324</v>
      </c>
      <c r="D342" s="5" t="s">
        <v>1325</v>
      </c>
      <c r="E342" s="5" t="s">
        <v>1416</v>
      </c>
      <c r="F342" s="5" t="s">
        <v>1374</v>
      </c>
      <c r="G342" s="5" t="s">
        <v>2195</v>
      </c>
      <c r="H342" s="5" t="s">
        <v>2305</v>
      </c>
    </row>
    <row r="343" customFormat="false" ht="15" hidden="false" customHeight="false" outlineLevel="0" collapsed="false">
      <c r="A343" s="37" t="n">
        <v>45861</v>
      </c>
      <c r="B343" s="5" t="s">
        <v>2306</v>
      </c>
      <c r="C343" s="5" t="s">
        <v>1386</v>
      </c>
      <c r="D343" s="5" t="s">
        <v>1387</v>
      </c>
      <c r="E343" s="5" t="s">
        <v>1450</v>
      </c>
      <c r="F343" s="5" t="s">
        <v>1401</v>
      </c>
      <c r="G343" s="5" t="s">
        <v>2252</v>
      </c>
      <c r="H343" s="5" t="s">
        <v>2307</v>
      </c>
    </row>
    <row r="344" customFormat="false" ht="15" hidden="false" customHeight="false" outlineLevel="0" collapsed="false">
      <c r="A344" s="5" t="s">
        <v>2308</v>
      </c>
      <c r="B344" s="5" t="s">
        <v>2309</v>
      </c>
      <c r="C344" s="5" t="n">
        <v>123</v>
      </c>
      <c r="D344" s="5" t="s">
        <v>1360</v>
      </c>
      <c r="E344" s="5" t="s">
        <v>1424</v>
      </c>
      <c r="F344" s="5" t="s">
        <v>1431</v>
      </c>
      <c r="G344" s="5" t="s">
        <v>2264</v>
      </c>
      <c r="H344" s="5" t="s">
        <v>2310</v>
      </c>
    </row>
    <row r="345" customFormat="false" ht="15" hidden="false" customHeight="false" outlineLevel="0" collapsed="false">
      <c r="A345" s="5" t="s">
        <v>2311</v>
      </c>
      <c r="B345" s="5" t="s">
        <v>2312</v>
      </c>
      <c r="C345" s="5" t="s">
        <v>1371</v>
      </c>
      <c r="D345" s="5" t="s">
        <v>1876</v>
      </c>
      <c r="E345" s="5" t="s">
        <v>1334</v>
      </c>
      <c r="F345" s="5" t="s">
        <v>1335</v>
      </c>
      <c r="G345" s="5" t="s">
        <v>2192</v>
      </c>
      <c r="H345" s="5" t="n">
        <v>6009.39</v>
      </c>
    </row>
    <row r="346" customFormat="false" ht="15" hidden="false" customHeight="false" outlineLevel="0" collapsed="false">
      <c r="A346" s="5" t="s">
        <v>2313</v>
      </c>
      <c r="B346" s="5" t="s">
        <v>2314</v>
      </c>
      <c r="C346" s="5" t="s">
        <v>1339</v>
      </c>
      <c r="D346" s="5" t="s">
        <v>1340</v>
      </c>
      <c r="E346" s="5" t="s">
        <v>1468</v>
      </c>
      <c r="F346" s="5" t="s">
        <v>1374</v>
      </c>
      <c r="G346" s="5" t="s">
        <v>2195</v>
      </c>
      <c r="H346" s="5" t="s">
        <v>2315</v>
      </c>
    </row>
    <row r="347" customFormat="false" ht="15" hidden="false" customHeight="false" outlineLevel="0" collapsed="false">
      <c r="A347" s="5" t="s">
        <v>2316</v>
      </c>
      <c r="B347" s="5" t="s">
        <v>2317</v>
      </c>
      <c r="C347" s="5" t="s">
        <v>1383</v>
      </c>
      <c r="D347" s="5" t="s">
        <v>1384</v>
      </c>
      <c r="E347" s="5" t="s">
        <v>1373</v>
      </c>
      <c r="F347" s="5" t="s">
        <v>1374</v>
      </c>
      <c r="G347" s="5" t="s">
        <v>2195</v>
      </c>
      <c r="H347" s="5" t="s">
        <v>2318</v>
      </c>
    </row>
    <row r="348" customFormat="false" ht="15" hidden="false" customHeight="false" outlineLevel="0" collapsed="false">
      <c r="A348" s="37" t="n">
        <v>45865</v>
      </c>
      <c r="B348" s="5" t="s">
        <v>2319</v>
      </c>
      <c r="C348" s="5" t="s">
        <v>1332</v>
      </c>
      <c r="D348" s="5" t="s">
        <v>1367</v>
      </c>
      <c r="E348" s="5" t="s">
        <v>1400</v>
      </c>
      <c r="F348" s="5" t="s">
        <v>1389</v>
      </c>
      <c r="G348" s="5" t="s">
        <v>2232</v>
      </c>
      <c r="H348" s="5" t="s">
        <v>2320</v>
      </c>
    </row>
    <row r="349" customFormat="false" ht="15" hidden="false" customHeight="false" outlineLevel="0" collapsed="false">
      <c r="A349" s="5" t="s">
        <v>2321</v>
      </c>
      <c r="B349" s="5" t="s">
        <v>2322</v>
      </c>
      <c r="C349" s="5" t="s">
        <v>1339</v>
      </c>
      <c r="D349" s="5" t="s">
        <v>1340</v>
      </c>
      <c r="E349" s="5" t="s">
        <v>1334</v>
      </c>
      <c r="F349" s="5" t="s">
        <v>1374</v>
      </c>
      <c r="G349" s="5" t="s">
        <v>2195</v>
      </c>
      <c r="H349" s="5" t="s">
        <v>2323</v>
      </c>
    </row>
    <row r="350" customFormat="false" ht="15" hidden="false" customHeight="false" outlineLevel="0" collapsed="false">
      <c r="A350" s="5" t="s">
        <v>2324</v>
      </c>
      <c r="B350" s="5" t="s">
        <v>2325</v>
      </c>
      <c r="C350" s="5" t="s">
        <v>1383</v>
      </c>
      <c r="D350" s="5" t="s">
        <v>1384</v>
      </c>
      <c r="E350" s="5" t="s">
        <v>1373</v>
      </c>
      <c r="F350" s="5" t="s">
        <v>1374</v>
      </c>
      <c r="G350" s="5" t="s">
        <v>2195</v>
      </c>
      <c r="H350" s="5" t="s">
        <v>2326</v>
      </c>
    </row>
    <row r="351" customFormat="false" ht="15" hidden="false" customHeight="false" outlineLevel="0" collapsed="false">
      <c r="A351" s="5" t="s">
        <v>2327</v>
      </c>
      <c r="B351" s="5" t="s">
        <v>2328</v>
      </c>
      <c r="C351" s="5" t="n">
        <v>3003</v>
      </c>
      <c r="D351" s="5" t="s">
        <v>1372</v>
      </c>
      <c r="E351" s="5" t="s">
        <v>1373</v>
      </c>
      <c r="F351" s="5" t="s">
        <v>1374</v>
      </c>
      <c r="G351" s="5" t="s">
        <v>2195</v>
      </c>
      <c r="H351" s="5" t="n">
        <v>784.24</v>
      </c>
    </row>
    <row r="352" customFormat="false" ht="15" hidden="false" customHeight="false" outlineLevel="0" collapsed="false">
      <c r="A352" s="5" t="s">
        <v>2329</v>
      </c>
      <c r="B352" s="5" t="s">
        <v>2330</v>
      </c>
      <c r="C352" s="5" t="s">
        <v>1406</v>
      </c>
      <c r="D352" s="5" t="s">
        <v>1407</v>
      </c>
      <c r="E352" s="5" t="s">
        <v>1408</v>
      </c>
      <c r="F352" s="5" t="s">
        <v>1409</v>
      </c>
      <c r="G352" s="5" t="s">
        <v>2331</v>
      </c>
      <c r="H352" s="5" t="s">
        <v>2332</v>
      </c>
    </row>
    <row r="353" customFormat="false" ht="15" hidden="false" customHeight="false" outlineLevel="0" collapsed="false">
      <c r="A353" s="37" t="n">
        <v>45870</v>
      </c>
      <c r="B353" s="5" t="s">
        <v>2333</v>
      </c>
      <c r="C353" s="5" t="s">
        <v>1453</v>
      </c>
      <c r="D353" s="5" t="s">
        <v>1360</v>
      </c>
      <c r="E353" s="5" t="s">
        <v>1468</v>
      </c>
      <c r="F353" s="5" t="s">
        <v>1335</v>
      </c>
      <c r="G353" s="5" t="s">
        <v>2334</v>
      </c>
      <c r="H353" s="5" t="s">
        <v>2335</v>
      </c>
    </row>
    <row r="354" customFormat="false" ht="15" hidden="false" customHeight="false" outlineLevel="0" collapsed="false">
      <c r="A354" s="5" t="s">
        <v>2336</v>
      </c>
      <c r="B354" s="5" t="s">
        <v>2337</v>
      </c>
      <c r="C354" s="5" t="s">
        <v>1332</v>
      </c>
      <c r="D354" s="5" t="s">
        <v>1333</v>
      </c>
      <c r="E354" s="5" t="s">
        <v>1400</v>
      </c>
      <c r="F354" s="5" t="s">
        <v>1401</v>
      </c>
      <c r="G354" s="5" t="s">
        <v>2338</v>
      </c>
      <c r="H354" s="5" t="s">
        <v>2339</v>
      </c>
    </row>
    <row r="355" customFormat="false" ht="15" hidden="false" customHeight="false" outlineLevel="0" collapsed="false">
      <c r="A355" s="5" t="s">
        <v>2340</v>
      </c>
      <c r="B355" s="5" t="s">
        <v>2341</v>
      </c>
      <c r="C355" s="5" t="s">
        <v>1453</v>
      </c>
      <c r="D355" s="5" t="s">
        <v>1360</v>
      </c>
      <c r="E355" s="5" t="s">
        <v>1408</v>
      </c>
      <c r="F355" s="5" t="s">
        <v>1351</v>
      </c>
      <c r="G355" s="5" t="s">
        <v>2342</v>
      </c>
      <c r="H355" s="5" t="s">
        <v>2343</v>
      </c>
    </row>
    <row r="356" customFormat="false" ht="15" hidden="false" customHeight="false" outlineLevel="0" collapsed="false">
      <c r="A356" s="5" t="s">
        <v>2344</v>
      </c>
      <c r="B356" s="5" t="s">
        <v>2345</v>
      </c>
      <c r="C356" s="5" t="s">
        <v>1356</v>
      </c>
      <c r="D356" s="5" t="s">
        <v>1559</v>
      </c>
      <c r="E356" s="5" t="s">
        <v>1427</v>
      </c>
      <c r="F356" s="5" t="s">
        <v>1320</v>
      </c>
      <c r="G356" s="5" t="s">
        <v>2346</v>
      </c>
      <c r="H356" s="5" t="s">
        <v>2347</v>
      </c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</row>
    <row r="358" customFormat="false" ht="15" hidden="false" customHeight="false" outlineLevel="0" collapsed="false">
      <c r="A358" s="5" t="s">
        <v>2348</v>
      </c>
      <c r="B358" s="5" t="s">
        <v>2349</v>
      </c>
      <c r="C358" s="5" t="s">
        <v>1371</v>
      </c>
      <c r="D358" s="5" t="s">
        <v>1492</v>
      </c>
      <c r="E358" s="5" t="s">
        <v>1496</v>
      </c>
      <c r="F358" s="5" t="s">
        <v>1409</v>
      </c>
      <c r="G358" s="5" t="s">
        <v>2331</v>
      </c>
      <c r="H358" s="5" t="n">
        <v>6194.61</v>
      </c>
    </row>
    <row r="359" customFormat="false" ht="15" hidden="false" customHeight="false" outlineLevel="0" collapsed="false">
      <c r="A359" s="37" t="n">
        <v>45874</v>
      </c>
      <c r="B359" s="5" t="s">
        <v>2350</v>
      </c>
      <c r="C359" s="5" t="n">
        <v>2020</v>
      </c>
      <c r="D359" s="5" t="s">
        <v>1387</v>
      </c>
      <c r="E359" s="5" t="s">
        <v>1400</v>
      </c>
      <c r="F359" s="5" t="s">
        <v>1389</v>
      </c>
      <c r="G359" s="5" t="s">
        <v>2351</v>
      </c>
      <c r="H359" s="5" t="s">
        <v>2352</v>
      </c>
    </row>
    <row r="360" customFormat="false" ht="15" hidden="false" customHeight="false" outlineLevel="0" collapsed="false">
      <c r="A360" s="5" t="s">
        <v>2353</v>
      </c>
      <c r="B360" s="5" t="s">
        <v>2354</v>
      </c>
      <c r="C360" s="5" t="s">
        <v>1339</v>
      </c>
      <c r="D360" s="5" t="s">
        <v>1340</v>
      </c>
      <c r="E360" s="5" t="s">
        <v>1496</v>
      </c>
      <c r="F360" s="5" t="s">
        <v>1351</v>
      </c>
      <c r="G360" s="5" t="s">
        <v>2342</v>
      </c>
      <c r="H360" s="5" t="s">
        <v>2355</v>
      </c>
    </row>
    <row r="361" customFormat="false" ht="15" hidden="false" customHeight="false" outlineLevel="0" collapsed="false">
      <c r="A361" s="5" t="s">
        <v>2356</v>
      </c>
      <c r="B361" s="5" t="s">
        <v>2357</v>
      </c>
      <c r="C361" s="5" t="s">
        <v>1383</v>
      </c>
      <c r="D361" s="5" t="s">
        <v>1384</v>
      </c>
      <c r="E361" s="5" t="s">
        <v>1326</v>
      </c>
      <c r="F361" s="5" t="s">
        <v>1327</v>
      </c>
      <c r="G361" s="5" t="s">
        <v>2358</v>
      </c>
      <c r="H361" s="5" t="s">
        <v>2359</v>
      </c>
    </row>
    <row r="362" customFormat="false" ht="15" hidden="false" customHeight="false" outlineLevel="0" collapsed="false">
      <c r="A362" s="5" t="s">
        <v>2360</v>
      </c>
      <c r="B362" s="5" t="s">
        <v>2361</v>
      </c>
      <c r="C362" s="5" t="s">
        <v>1356</v>
      </c>
      <c r="D362" s="5" t="s">
        <v>1357</v>
      </c>
      <c r="E362" s="5" t="s">
        <v>1496</v>
      </c>
      <c r="F362" s="5" t="s">
        <v>1351</v>
      </c>
      <c r="G362" s="5" t="s">
        <v>2342</v>
      </c>
      <c r="H362" s="5" t="s">
        <v>2362</v>
      </c>
    </row>
    <row r="363" customFormat="false" ht="15" hidden="false" customHeight="false" outlineLevel="0" collapsed="false">
      <c r="A363" s="5" t="s">
        <v>2363</v>
      </c>
      <c r="B363" s="5" t="s">
        <v>2364</v>
      </c>
      <c r="C363" s="5" t="s">
        <v>1386</v>
      </c>
      <c r="D363" s="5" t="s">
        <v>1387</v>
      </c>
      <c r="E363" s="5" t="s">
        <v>1373</v>
      </c>
      <c r="F363" s="5" t="s">
        <v>1374</v>
      </c>
      <c r="G363" s="5" t="s">
        <v>2365</v>
      </c>
      <c r="H363" s="5" t="s">
        <v>2366</v>
      </c>
    </row>
    <row r="364" customFormat="false" ht="15" hidden="false" customHeight="false" outlineLevel="0" collapsed="false">
      <c r="A364" s="37" t="n">
        <v>45877</v>
      </c>
      <c r="B364" s="5" t="s">
        <v>2367</v>
      </c>
      <c r="C364" s="5" t="s">
        <v>1324</v>
      </c>
      <c r="D364" s="5" t="s">
        <v>1325</v>
      </c>
      <c r="E364" s="5" t="s">
        <v>1408</v>
      </c>
      <c r="F364" s="5" t="s">
        <v>1351</v>
      </c>
      <c r="G364" s="5" t="s">
        <v>2342</v>
      </c>
      <c r="H364" s="5" t="n">
        <v>2231.73</v>
      </c>
    </row>
    <row r="365" customFormat="false" ht="15" hidden="false" customHeight="false" outlineLevel="0" collapsed="false">
      <c r="A365" s="5" t="s">
        <v>2368</v>
      </c>
      <c r="B365" s="5" t="s">
        <v>2369</v>
      </c>
      <c r="C365" s="5" t="s">
        <v>1356</v>
      </c>
      <c r="D365" s="5" t="s">
        <v>1357</v>
      </c>
      <c r="E365" s="5" t="s">
        <v>1373</v>
      </c>
      <c r="F365" s="5" t="s">
        <v>1374</v>
      </c>
      <c r="G365" s="5" t="s">
        <v>2365</v>
      </c>
      <c r="H365" s="5" t="s">
        <v>2370</v>
      </c>
    </row>
    <row r="366" customFormat="false" ht="15" hidden="false" customHeight="false" outlineLevel="0" collapsed="false">
      <c r="A366" s="5" t="s">
        <v>2368</v>
      </c>
      <c r="B366" s="5" t="s">
        <v>2369</v>
      </c>
      <c r="C366" s="5" t="s">
        <v>1356</v>
      </c>
      <c r="D366" s="5" t="s">
        <v>1357</v>
      </c>
      <c r="E366" s="5" t="s">
        <v>1373</v>
      </c>
      <c r="F366" s="5" t="s">
        <v>1374</v>
      </c>
      <c r="G366" s="5" t="s">
        <v>2365</v>
      </c>
      <c r="H366" s="5" t="s">
        <v>2370</v>
      </c>
    </row>
    <row r="367" customFormat="false" ht="15" hidden="false" customHeight="false" outlineLevel="0" collapsed="false">
      <c r="A367" s="5" t="s">
        <v>2371</v>
      </c>
      <c r="B367" s="5" t="s">
        <v>2372</v>
      </c>
      <c r="C367" s="5" t="s">
        <v>1339</v>
      </c>
      <c r="D367" s="5" t="s">
        <v>1547</v>
      </c>
      <c r="E367" s="5" t="s">
        <v>1350</v>
      </c>
      <c r="F367" s="5" t="s">
        <v>1351</v>
      </c>
      <c r="G367" s="5" t="s">
        <v>2342</v>
      </c>
      <c r="H367" s="5" t="s">
        <v>2373</v>
      </c>
    </row>
    <row r="368" customFormat="false" ht="15" hidden="false" customHeight="false" outlineLevel="0" collapsed="false">
      <c r="A368" s="5" t="s">
        <v>2374</v>
      </c>
      <c r="B368" s="5" t="s">
        <v>2375</v>
      </c>
      <c r="C368" s="5" t="s">
        <v>1453</v>
      </c>
      <c r="D368" s="5" t="s">
        <v>1522</v>
      </c>
      <c r="E368" s="5" t="s">
        <v>1363</v>
      </c>
      <c r="F368" s="5" t="s">
        <v>1327</v>
      </c>
      <c r="G368" s="5" t="s">
        <v>2358</v>
      </c>
      <c r="H368" s="5" t="s">
        <v>2376</v>
      </c>
    </row>
    <row r="369" customFormat="false" ht="15" hidden="false" customHeight="false" outlineLevel="0" collapsed="false">
      <c r="A369" s="37" t="n">
        <v>45878</v>
      </c>
      <c r="B369" s="5" t="s">
        <v>2377</v>
      </c>
      <c r="C369" s="5" t="s">
        <v>1324</v>
      </c>
      <c r="D369" s="5" t="s">
        <v>1325</v>
      </c>
      <c r="E369" s="5" t="s">
        <v>1350</v>
      </c>
      <c r="F369" s="5" t="s">
        <v>1351</v>
      </c>
      <c r="G369" s="5" t="s">
        <v>2342</v>
      </c>
      <c r="H369" s="5" t="s">
        <v>2378</v>
      </c>
    </row>
    <row r="370" customFormat="false" ht="15" hidden="false" customHeight="false" outlineLevel="0" collapsed="false">
      <c r="A370" s="5" t="s">
        <v>2368</v>
      </c>
      <c r="B370" s="5" t="s">
        <v>2379</v>
      </c>
      <c r="C370" s="5" t="s">
        <v>1332</v>
      </c>
      <c r="D370" s="5" t="s">
        <v>1333</v>
      </c>
      <c r="E370" s="5" t="s">
        <v>1334</v>
      </c>
      <c r="F370" s="5" t="s">
        <v>1335</v>
      </c>
      <c r="G370" s="5" t="s">
        <v>2334</v>
      </c>
      <c r="H370" s="5" t="n">
        <v>5565.25</v>
      </c>
    </row>
    <row r="371" customFormat="false" ht="15" hidden="false" customHeight="false" outlineLevel="0" collapsed="false">
      <c r="A371" s="5" t="s">
        <v>2380</v>
      </c>
      <c r="B371" s="5" t="s">
        <v>2381</v>
      </c>
      <c r="C371" s="5" t="s">
        <v>1324</v>
      </c>
      <c r="D371" s="5" t="s">
        <v>1325</v>
      </c>
      <c r="E371" s="5" t="s">
        <v>1416</v>
      </c>
      <c r="F371" s="5" t="s">
        <v>1335</v>
      </c>
      <c r="G371" s="5" t="s">
        <v>2334</v>
      </c>
      <c r="H371" s="5" t="s">
        <v>2382</v>
      </c>
    </row>
    <row r="372" customFormat="false" ht="15" hidden="false" customHeight="false" outlineLevel="0" collapsed="false">
      <c r="A372" s="5" t="s">
        <v>2383</v>
      </c>
      <c r="B372" s="5" t="s">
        <v>2384</v>
      </c>
      <c r="C372" s="5" t="s">
        <v>1371</v>
      </c>
      <c r="D372" s="5" t="s">
        <v>1372</v>
      </c>
      <c r="E372" s="5" t="s">
        <v>1363</v>
      </c>
      <c r="F372" s="5" t="s">
        <v>1327</v>
      </c>
      <c r="G372" s="5" t="s">
        <v>2358</v>
      </c>
      <c r="H372" s="5" t="s">
        <v>2385</v>
      </c>
    </row>
    <row r="373" customFormat="false" ht="15" hidden="false" customHeight="false" outlineLevel="0" collapsed="false">
      <c r="A373" s="5" t="s">
        <v>2386</v>
      </c>
      <c r="B373" s="5" t="s">
        <v>2387</v>
      </c>
      <c r="C373" s="5" t="n">
        <v>6006</v>
      </c>
      <c r="D373" s="5" t="s">
        <v>1357</v>
      </c>
      <c r="E373" s="5" t="s">
        <v>1416</v>
      </c>
      <c r="F373" s="5" t="s">
        <v>1374</v>
      </c>
      <c r="G373" s="5" t="s">
        <v>2365</v>
      </c>
      <c r="H373" s="5" t="s">
        <v>2388</v>
      </c>
    </row>
    <row r="374" customFormat="false" ht="15" hidden="false" customHeight="false" outlineLevel="0" collapsed="false">
      <c r="A374" s="37" t="n">
        <v>45881</v>
      </c>
      <c r="B374" s="5" t="s">
        <v>2389</v>
      </c>
      <c r="C374" s="5" t="s">
        <v>1386</v>
      </c>
      <c r="D374" s="5" t="s">
        <v>1387</v>
      </c>
      <c r="E374" s="5" t="s">
        <v>1334</v>
      </c>
      <c r="F374" s="5" t="s">
        <v>1374</v>
      </c>
      <c r="G374" s="5" t="s">
        <v>2365</v>
      </c>
      <c r="H374" s="5" t="s">
        <v>2390</v>
      </c>
    </row>
    <row r="375" customFormat="false" ht="15" hidden="false" customHeight="false" outlineLevel="0" collapsed="false">
      <c r="A375" s="5" t="s">
        <v>2391</v>
      </c>
      <c r="B375" s="5" t="s">
        <v>2392</v>
      </c>
      <c r="C375" s="5" t="s">
        <v>1383</v>
      </c>
      <c r="D375" s="5" t="s">
        <v>1384</v>
      </c>
      <c r="E375" s="5" t="s">
        <v>1450</v>
      </c>
      <c r="F375" s="5" t="s">
        <v>1389</v>
      </c>
      <c r="G375" s="5" t="s">
        <v>2351</v>
      </c>
      <c r="H375" s="5" t="s">
        <v>2393</v>
      </c>
    </row>
    <row r="376" customFormat="false" ht="15" hidden="false" customHeight="false" outlineLevel="0" collapsed="false">
      <c r="A376" s="5" t="s">
        <v>1309</v>
      </c>
      <c r="B376" s="5" t="s">
        <v>1310</v>
      </c>
      <c r="C376" s="5" t="s">
        <v>1311</v>
      </c>
      <c r="D376" s="5" t="s">
        <v>1312</v>
      </c>
      <c r="E376" s="5" t="s">
        <v>1313</v>
      </c>
      <c r="F376" s="5" t="s">
        <v>1314</v>
      </c>
      <c r="G376" s="5" t="s">
        <v>1315</v>
      </c>
      <c r="H376" s="5" t="s">
        <v>90</v>
      </c>
    </row>
    <row r="377" customFormat="false" ht="15" hidden="false" customHeight="false" outlineLevel="0" collapsed="false">
      <c r="A377" s="5" t="s">
        <v>2394</v>
      </c>
      <c r="B377" s="5" t="s">
        <v>2395</v>
      </c>
      <c r="C377" s="5" t="s">
        <v>1383</v>
      </c>
      <c r="D377" s="5" t="s">
        <v>1965</v>
      </c>
      <c r="E377" s="5" t="s">
        <v>1388</v>
      </c>
      <c r="F377" s="5" t="s">
        <v>1401</v>
      </c>
      <c r="G377" s="5" t="s">
        <v>2338</v>
      </c>
      <c r="H377" s="5" t="n">
        <v>2718.39</v>
      </c>
    </row>
    <row r="378" customFormat="false" ht="15" hidden="false" customHeight="false" outlineLevel="0" collapsed="false">
      <c r="A378" s="5" t="s">
        <v>2396</v>
      </c>
      <c r="B378" s="5" t="s">
        <v>2397</v>
      </c>
      <c r="C378" s="5" t="s">
        <v>1453</v>
      </c>
      <c r="D378" s="5" t="s">
        <v>1360</v>
      </c>
      <c r="E378" s="5" t="s">
        <v>1319</v>
      </c>
      <c r="F378" s="5" t="s">
        <v>1431</v>
      </c>
      <c r="G378" s="5" t="s">
        <v>2398</v>
      </c>
      <c r="H378" s="5" t="s">
        <v>2399</v>
      </c>
    </row>
    <row r="379" customFormat="false" ht="15" hidden="false" customHeight="false" outlineLevel="0" collapsed="false">
      <c r="A379" s="5" t="s">
        <v>2400</v>
      </c>
      <c r="B379" s="5" t="s">
        <v>2401</v>
      </c>
      <c r="C379" s="5" t="s">
        <v>1383</v>
      </c>
      <c r="D379" s="5" t="s">
        <v>1384</v>
      </c>
      <c r="E379" s="5" t="s">
        <v>1424</v>
      </c>
      <c r="F379" s="5" t="s">
        <v>1320</v>
      </c>
      <c r="G379" s="5" t="s">
        <v>2346</v>
      </c>
      <c r="H379" s="5" t="s">
        <v>2402</v>
      </c>
    </row>
    <row r="380" customFormat="false" ht="15" hidden="false" customHeight="false" outlineLevel="0" collapsed="false">
      <c r="A380" s="37" t="n">
        <v>45883</v>
      </c>
      <c r="B380" s="5" t="s">
        <v>2403</v>
      </c>
      <c r="C380" s="5" t="s">
        <v>1453</v>
      </c>
      <c r="D380" s="5" t="s">
        <v>1522</v>
      </c>
      <c r="E380" s="5" t="s">
        <v>1496</v>
      </c>
      <c r="F380" s="5" t="s">
        <v>1351</v>
      </c>
      <c r="G380" s="5" t="s">
        <v>2342</v>
      </c>
      <c r="H380" s="5" t="s">
        <v>2404</v>
      </c>
    </row>
    <row r="381" customFormat="false" ht="15" hidden="false" customHeight="false" outlineLevel="0" collapsed="false">
      <c r="A381" s="5" t="s">
        <v>2405</v>
      </c>
      <c r="B381" s="5" t="s">
        <v>2406</v>
      </c>
      <c r="C381" s="5" t="n">
        <v>1011</v>
      </c>
      <c r="D381" s="5" t="s">
        <v>1325</v>
      </c>
      <c r="E381" s="5" t="s">
        <v>1416</v>
      </c>
      <c r="F381" s="5" t="s">
        <v>1374</v>
      </c>
      <c r="G381" s="5" t="s">
        <v>2365</v>
      </c>
      <c r="H381" s="5" t="s">
        <v>2407</v>
      </c>
    </row>
    <row r="382" customFormat="false" ht="15" hidden="false" customHeight="false" outlineLevel="0" collapsed="false">
      <c r="A382" s="5" t="s">
        <v>2408</v>
      </c>
      <c r="B382" s="5" t="s">
        <v>2409</v>
      </c>
      <c r="C382" s="5" t="s">
        <v>1453</v>
      </c>
      <c r="D382" s="5" t="s">
        <v>1360</v>
      </c>
      <c r="E382" s="5" t="s">
        <v>1496</v>
      </c>
      <c r="F382" s="5" t="s">
        <v>1409</v>
      </c>
      <c r="G382" s="5" t="s">
        <v>2331</v>
      </c>
      <c r="H382" s="5" t="s">
        <v>2410</v>
      </c>
    </row>
    <row r="383" customFormat="false" ht="15" hidden="false" customHeight="false" outlineLevel="0" collapsed="false">
      <c r="A383" s="5" t="s">
        <v>2411</v>
      </c>
      <c r="B383" s="5" t="s">
        <v>2412</v>
      </c>
      <c r="C383" s="5" t="s">
        <v>1371</v>
      </c>
      <c r="D383" s="5" t="s">
        <v>1372</v>
      </c>
      <c r="E383" s="5" t="s">
        <v>1416</v>
      </c>
      <c r="F383" s="5" t="s">
        <v>1374</v>
      </c>
      <c r="G383" s="5" t="s">
        <v>2365</v>
      </c>
      <c r="H383" s="5" t="n">
        <v>6262.85</v>
      </c>
    </row>
    <row r="384" customFormat="false" ht="15" hidden="false" customHeight="false" outlineLevel="0" collapsed="false">
      <c r="A384" s="5" t="s">
        <v>2413</v>
      </c>
      <c r="B384" s="5" t="s">
        <v>2414</v>
      </c>
      <c r="C384" s="5" t="s">
        <v>1453</v>
      </c>
      <c r="D384" s="5" t="s">
        <v>1360</v>
      </c>
      <c r="E384" s="5" t="s">
        <v>1424</v>
      </c>
      <c r="F384" s="5" t="s">
        <v>1320</v>
      </c>
      <c r="G384" s="5" t="s">
        <v>2346</v>
      </c>
      <c r="H384" s="5" t="s">
        <v>2415</v>
      </c>
    </row>
    <row r="385" customFormat="false" ht="15" hidden="false" customHeight="false" outlineLevel="0" collapsed="false">
      <c r="A385" s="37" t="n">
        <v>45885</v>
      </c>
      <c r="B385" s="5" t="s">
        <v>2416</v>
      </c>
      <c r="C385" s="5" t="s">
        <v>1386</v>
      </c>
      <c r="D385" s="5" t="s">
        <v>1387</v>
      </c>
      <c r="E385" s="5" t="s">
        <v>1424</v>
      </c>
      <c r="F385" s="5" t="s">
        <v>1431</v>
      </c>
      <c r="G385" s="5" t="s">
        <v>2398</v>
      </c>
      <c r="H385" s="5" t="s">
        <v>2417</v>
      </c>
    </row>
    <row r="386" customFormat="false" ht="15" hidden="false" customHeight="false" outlineLevel="0" collapsed="false">
      <c r="A386" s="5" t="s">
        <v>2418</v>
      </c>
      <c r="B386" s="5" t="s">
        <v>2419</v>
      </c>
      <c r="C386" s="5" t="s">
        <v>1386</v>
      </c>
      <c r="D386" s="5" t="s">
        <v>2015</v>
      </c>
      <c r="E386" s="5" t="s">
        <v>1468</v>
      </c>
      <c r="F386" s="5" t="s">
        <v>1335</v>
      </c>
      <c r="G386" s="5" t="s">
        <v>2334</v>
      </c>
      <c r="H386" s="5" t="s">
        <v>2420</v>
      </c>
    </row>
    <row r="387" customFormat="false" ht="15" hidden="false" customHeight="false" outlineLevel="0" collapsed="false">
      <c r="A387" s="5" t="s">
        <v>2421</v>
      </c>
      <c r="B387" s="5" t="s">
        <v>2422</v>
      </c>
      <c r="C387" s="5" t="s">
        <v>1453</v>
      </c>
      <c r="D387" s="5" t="s">
        <v>1360</v>
      </c>
      <c r="E387" s="5" t="s">
        <v>1363</v>
      </c>
      <c r="F387" s="5" t="s">
        <v>1341</v>
      </c>
      <c r="G387" s="5" t="s">
        <v>2423</v>
      </c>
      <c r="H387" s="5" t="s">
        <v>2424</v>
      </c>
    </row>
    <row r="388" customFormat="false" ht="15" hidden="false" customHeight="false" outlineLevel="0" collapsed="false">
      <c r="A388" s="5" t="s">
        <v>2425</v>
      </c>
      <c r="B388" s="5" t="s">
        <v>2426</v>
      </c>
      <c r="C388" s="5" t="n">
        <v>5555</v>
      </c>
      <c r="D388" s="5" t="s">
        <v>1384</v>
      </c>
      <c r="E388" s="5" t="s">
        <v>1373</v>
      </c>
      <c r="F388" s="5" t="s">
        <v>1374</v>
      </c>
      <c r="G388" s="5" t="s">
        <v>2365</v>
      </c>
      <c r="H388" s="5" t="s">
        <v>2427</v>
      </c>
    </row>
    <row r="389" customFormat="false" ht="15" hidden="false" customHeight="false" outlineLevel="0" collapsed="false">
      <c r="A389" s="5" t="s">
        <v>2425</v>
      </c>
      <c r="B389" s="5" t="s">
        <v>2426</v>
      </c>
      <c r="C389" s="5" t="n">
        <v>5555</v>
      </c>
      <c r="D389" s="5" t="s">
        <v>1384</v>
      </c>
      <c r="E389" s="5" t="s">
        <v>1373</v>
      </c>
      <c r="F389" s="5" t="s">
        <v>1374</v>
      </c>
      <c r="G389" s="5" t="s">
        <v>2365</v>
      </c>
      <c r="H389" s="5" t="s">
        <v>2427</v>
      </c>
    </row>
    <row r="390" customFormat="false" ht="15" hidden="false" customHeight="false" outlineLevel="0" collapsed="false">
      <c r="A390" s="37" t="n">
        <v>45887</v>
      </c>
      <c r="B390" s="5" t="s">
        <v>2428</v>
      </c>
      <c r="C390" s="5" t="s">
        <v>1356</v>
      </c>
      <c r="D390" s="5" t="s">
        <v>1357</v>
      </c>
      <c r="E390" s="5" t="s">
        <v>1373</v>
      </c>
      <c r="F390" s="5" t="s">
        <v>1335</v>
      </c>
      <c r="G390" s="5" t="s">
        <v>2334</v>
      </c>
      <c r="H390" s="5" t="s">
        <v>2429</v>
      </c>
    </row>
    <row r="391" customFormat="false" ht="15" hidden="false" customHeight="false" outlineLevel="0" collapsed="false">
      <c r="A391" s="5" t="s">
        <v>2430</v>
      </c>
      <c r="B391" s="5" t="s">
        <v>2431</v>
      </c>
      <c r="C391" s="5" t="s">
        <v>1383</v>
      </c>
      <c r="D391" s="5" t="s">
        <v>1423</v>
      </c>
      <c r="E391" s="5" t="s">
        <v>1416</v>
      </c>
      <c r="F391" s="5" t="s">
        <v>1335</v>
      </c>
      <c r="G391" s="5" t="s">
        <v>2334</v>
      </c>
      <c r="H391" s="5" t="s">
        <v>2432</v>
      </c>
    </row>
    <row r="392" customFormat="false" ht="15" hidden="false" customHeight="false" outlineLevel="0" collapsed="false">
      <c r="A392" s="5" t="s">
        <v>2433</v>
      </c>
      <c r="B392" s="5" t="s">
        <v>2434</v>
      </c>
      <c r="C392" s="5" t="s">
        <v>1371</v>
      </c>
      <c r="D392" s="5" t="s">
        <v>1372</v>
      </c>
      <c r="E392" s="5" t="s">
        <v>1450</v>
      </c>
      <c r="F392" s="5" t="s">
        <v>1389</v>
      </c>
      <c r="G392" s="5" t="s">
        <v>2351</v>
      </c>
      <c r="H392" s="5" t="s">
        <v>2435</v>
      </c>
    </row>
    <row r="393" customFormat="false" ht="15" hidden="false" customHeight="false" outlineLevel="0" collapsed="false">
      <c r="A393" s="5" t="s">
        <v>2436</v>
      </c>
      <c r="B393" s="5" t="s">
        <v>2437</v>
      </c>
      <c r="C393" s="5" t="s">
        <v>1383</v>
      </c>
      <c r="D393" s="5" t="s">
        <v>1384</v>
      </c>
      <c r="E393" s="5" t="s">
        <v>1400</v>
      </c>
      <c r="F393" s="5" t="s">
        <v>1389</v>
      </c>
      <c r="G393" s="5" t="s">
        <v>2351</v>
      </c>
      <c r="H393" s="5" t="s">
        <v>2438</v>
      </c>
    </row>
    <row r="394" customFormat="false" ht="15" hidden="false" customHeight="false" outlineLevel="0" collapsed="false">
      <c r="A394" s="5" t="s">
        <v>2439</v>
      </c>
      <c r="B394" s="5" t="s">
        <v>2440</v>
      </c>
      <c r="C394" s="5" t="s">
        <v>1324</v>
      </c>
      <c r="D394" s="5" t="s">
        <v>1325</v>
      </c>
      <c r="E394" s="5" t="s">
        <v>1416</v>
      </c>
      <c r="F394" s="5" t="s">
        <v>1374</v>
      </c>
      <c r="G394" s="5" t="s">
        <v>2365</v>
      </c>
      <c r="H394" s="5" t="s">
        <v>2441</v>
      </c>
    </row>
    <row r="395" customFormat="false" ht="15" hidden="false" customHeight="false" outlineLevel="0" collapsed="false">
      <c r="A395" s="37" t="n">
        <v>45891</v>
      </c>
      <c r="B395" s="5" t="s">
        <v>2442</v>
      </c>
      <c r="C395" s="5" t="n">
        <v>6006</v>
      </c>
      <c r="D395" s="5" t="s">
        <v>1756</v>
      </c>
      <c r="E395" s="5" t="s">
        <v>1468</v>
      </c>
      <c r="F395" s="5" t="s">
        <v>1374</v>
      </c>
      <c r="G395" s="5" t="s">
        <v>2365</v>
      </c>
      <c r="H395" s="5" t="n">
        <v>4494.98</v>
      </c>
    </row>
    <row r="396" customFormat="false" ht="15" hidden="false" customHeight="false" outlineLevel="0" collapsed="false">
      <c r="A396" s="5" t="s">
        <v>2443</v>
      </c>
      <c r="B396" s="5" t="s">
        <v>2444</v>
      </c>
      <c r="C396" s="5" t="s">
        <v>1339</v>
      </c>
      <c r="D396" s="5" t="s">
        <v>1340</v>
      </c>
      <c r="E396" s="5" t="s">
        <v>1450</v>
      </c>
      <c r="F396" s="5" t="s">
        <v>1389</v>
      </c>
      <c r="G396" s="5" t="s">
        <v>2351</v>
      </c>
      <c r="H396" s="5" t="s">
        <v>2445</v>
      </c>
    </row>
    <row r="397" customFormat="false" ht="15" hidden="false" customHeight="false" outlineLevel="0" collapsed="false">
      <c r="A397" s="5" t="s">
        <v>2446</v>
      </c>
      <c r="B397" s="5" t="s">
        <v>2447</v>
      </c>
      <c r="C397" s="5" t="s">
        <v>1371</v>
      </c>
      <c r="D397" s="5" t="s">
        <v>1372</v>
      </c>
      <c r="E397" s="5" t="s">
        <v>1363</v>
      </c>
      <c r="F397" s="5" t="s">
        <v>1341</v>
      </c>
      <c r="G397" s="5" t="s">
        <v>2423</v>
      </c>
      <c r="H397" s="5" t="s">
        <v>2448</v>
      </c>
    </row>
    <row r="398" customFormat="false" ht="15" hidden="false" customHeight="false" outlineLevel="0" collapsed="false">
      <c r="A398" s="5" t="s">
        <v>2449</v>
      </c>
      <c r="B398" s="5" t="s">
        <v>2450</v>
      </c>
      <c r="C398" s="5" t="s">
        <v>1453</v>
      </c>
      <c r="D398" s="5" t="s">
        <v>1360</v>
      </c>
      <c r="E398" s="5" t="s">
        <v>1334</v>
      </c>
      <c r="F398" s="5" t="s">
        <v>1374</v>
      </c>
      <c r="G398" s="5" t="s">
        <v>2365</v>
      </c>
      <c r="H398" s="5" t="s">
        <v>2451</v>
      </c>
    </row>
    <row r="399" customFormat="false" ht="15" hidden="false" customHeight="false" outlineLevel="0" collapsed="false">
      <c r="A399" s="5" t="s">
        <v>2452</v>
      </c>
      <c r="B399" s="5" t="s">
        <v>2453</v>
      </c>
      <c r="C399" s="5" t="s">
        <v>1339</v>
      </c>
      <c r="D399" s="5" t="s">
        <v>1340</v>
      </c>
      <c r="E399" s="5" t="s">
        <v>1350</v>
      </c>
      <c r="F399" s="5" t="s">
        <v>1351</v>
      </c>
      <c r="G399" s="5" t="s">
        <v>2342</v>
      </c>
      <c r="H399" s="5" t="s">
        <v>2454</v>
      </c>
    </row>
    <row r="400" customFormat="false" ht="15" hidden="false" customHeight="false" outlineLevel="0" collapsed="false">
      <c r="A400" s="37" t="n">
        <v>45895</v>
      </c>
      <c r="B400" s="5" t="s">
        <v>2455</v>
      </c>
      <c r="C400" s="5" t="s">
        <v>1406</v>
      </c>
      <c r="D400" s="5" t="s">
        <v>1407</v>
      </c>
      <c r="E400" s="5" t="s">
        <v>1388</v>
      </c>
      <c r="F400" s="5" t="s">
        <v>1389</v>
      </c>
      <c r="G400" s="5" t="s">
        <v>2351</v>
      </c>
      <c r="H400" s="5" t="s">
        <v>2456</v>
      </c>
    </row>
    <row r="401" customFormat="false" ht="15" hidden="false" customHeight="false" outlineLevel="0" collapsed="false">
      <c r="A401" s="5" t="s">
        <v>2457</v>
      </c>
      <c r="B401" s="5" t="s">
        <v>2458</v>
      </c>
      <c r="C401" s="5" t="s">
        <v>1383</v>
      </c>
      <c r="D401" s="5" t="s">
        <v>1384</v>
      </c>
      <c r="E401" s="5" t="s">
        <v>1416</v>
      </c>
      <c r="F401" s="5" t="s">
        <v>1335</v>
      </c>
      <c r="G401" s="5" t="s">
        <v>2334</v>
      </c>
      <c r="H401" s="5" t="n">
        <v>3261.31</v>
      </c>
    </row>
    <row r="402" customFormat="false" ht="15" hidden="false" customHeight="false" outlineLevel="0" collapsed="false">
      <c r="A402" s="5" t="s">
        <v>2459</v>
      </c>
      <c r="B402" s="5" t="s">
        <v>2460</v>
      </c>
      <c r="C402" s="5" t="n">
        <v>5555</v>
      </c>
      <c r="D402" s="5" t="s">
        <v>1423</v>
      </c>
      <c r="E402" s="5" t="s">
        <v>1468</v>
      </c>
      <c r="F402" s="5" t="s">
        <v>1335</v>
      </c>
      <c r="G402" s="5" t="s">
        <v>2461</v>
      </c>
      <c r="H402" s="5" t="s">
        <v>2462</v>
      </c>
    </row>
    <row r="403" customFormat="false" ht="15" hidden="false" customHeight="false" outlineLevel="0" collapsed="false">
      <c r="A403" s="5" t="s">
        <v>2463</v>
      </c>
      <c r="B403" s="5" t="s">
        <v>2464</v>
      </c>
      <c r="C403" s="5" t="s">
        <v>1371</v>
      </c>
      <c r="D403" s="5" t="s">
        <v>1372</v>
      </c>
      <c r="E403" s="5" t="s">
        <v>1400</v>
      </c>
      <c r="F403" s="5" t="s">
        <v>1401</v>
      </c>
      <c r="G403" s="5" t="s">
        <v>2465</v>
      </c>
      <c r="H403" s="5" t="s">
        <v>2466</v>
      </c>
    </row>
    <row r="404" customFormat="false" ht="15" hidden="false" customHeight="false" outlineLevel="0" collapsed="false">
      <c r="A404" s="5" t="s">
        <v>2467</v>
      </c>
      <c r="B404" s="5" t="s">
        <v>2468</v>
      </c>
      <c r="C404" s="5" t="s">
        <v>1371</v>
      </c>
      <c r="D404" s="5" t="s">
        <v>1492</v>
      </c>
      <c r="E404" s="5" t="s">
        <v>1350</v>
      </c>
      <c r="F404" s="5" t="s">
        <v>1409</v>
      </c>
      <c r="G404" s="5" t="s">
        <v>2469</v>
      </c>
      <c r="H404" s="5" t="s">
        <v>2470</v>
      </c>
    </row>
    <row r="405" customFormat="false" ht="15" hidden="false" customHeight="false" outlineLevel="0" collapsed="false">
      <c r="A405" s="37" t="n">
        <v>45902</v>
      </c>
      <c r="B405" s="5" t="s">
        <v>2471</v>
      </c>
      <c r="C405" s="5" t="s">
        <v>1339</v>
      </c>
      <c r="D405" s="5" t="s">
        <v>1340</v>
      </c>
      <c r="E405" s="5" t="s">
        <v>1450</v>
      </c>
      <c r="F405" s="5" t="s">
        <v>1389</v>
      </c>
      <c r="G405" s="5" t="s">
        <v>2472</v>
      </c>
      <c r="H405" s="5" t="s">
        <v>2473</v>
      </c>
    </row>
    <row r="406" customFormat="false" ht="15" hidden="false" customHeight="false" outlineLevel="0" collapsed="false">
      <c r="A406" s="5" t="s">
        <v>2474</v>
      </c>
      <c r="B406" s="5" t="s">
        <v>2475</v>
      </c>
      <c r="C406" s="5" t="s">
        <v>1339</v>
      </c>
      <c r="D406" s="5" t="s">
        <v>1340</v>
      </c>
      <c r="E406" s="5" t="s">
        <v>1326</v>
      </c>
      <c r="F406" s="5" t="s">
        <v>1327</v>
      </c>
      <c r="G406" s="5" t="s">
        <v>2476</v>
      </c>
      <c r="H406" s="5" t="s">
        <v>2477</v>
      </c>
    </row>
    <row r="407" customFormat="false" ht="15" hidden="false" customHeight="false" outlineLevel="0" collapsed="false">
      <c r="A407" s="5" t="s">
        <v>2478</v>
      </c>
      <c r="B407" s="5" t="s">
        <v>2479</v>
      </c>
      <c r="C407" s="5" t="s">
        <v>1383</v>
      </c>
      <c r="D407" s="5" t="s">
        <v>1384</v>
      </c>
      <c r="E407" s="5" t="s">
        <v>1319</v>
      </c>
      <c r="F407" s="5" t="s">
        <v>1320</v>
      </c>
      <c r="G407" s="5" t="s">
        <v>2480</v>
      </c>
      <c r="H407" s="5" t="n">
        <v>657.14</v>
      </c>
    </row>
    <row r="408" customFormat="false" ht="15" hidden="false" customHeight="false" outlineLevel="0" collapsed="false">
      <c r="A408" s="5" t="s">
        <v>2481</v>
      </c>
      <c r="B408" s="5" t="s">
        <v>2482</v>
      </c>
      <c r="C408" s="5" t="s">
        <v>1339</v>
      </c>
      <c r="D408" s="5" t="s">
        <v>1340</v>
      </c>
      <c r="E408" s="5" t="s">
        <v>1496</v>
      </c>
      <c r="F408" s="5" t="s">
        <v>1409</v>
      </c>
      <c r="G408" s="5" t="s">
        <v>2469</v>
      </c>
      <c r="H408" s="5" t="s">
        <v>2483</v>
      </c>
    </row>
    <row r="409" customFormat="false" ht="15" hidden="false" customHeight="false" outlineLevel="0" collapsed="false">
      <c r="A409" s="5" t="s">
        <v>2484</v>
      </c>
      <c r="B409" s="5" t="s">
        <v>2485</v>
      </c>
      <c r="C409" s="5" t="n">
        <v>3003</v>
      </c>
      <c r="D409" s="5" t="s">
        <v>1372</v>
      </c>
      <c r="E409" s="5" t="s">
        <v>1388</v>
      </c>
      <c r="F409" s="5" t="s">
        <v>1389</v>
      </c>
      <c r="G409" s="5" t="s">
        <v>2472</v>
      </c>
      <c r="H409" s="5" t="s">
        <v>2486</v>
      </c>
    </row>
    <row r="410" customFormat="false" ht="15" hidden="false" customHeight="false" outlineLevel="0" collapsed="false">
      <c r="A410" s="37" t="n">
        <v>45904</v>
      </c>
      <c r="B410" s="5" t="s">
        <v>2487</v>
      </c>
      <c r="C410" s="5" t="s">
        <v>1332</v>
      </c>
      <c r="D410" s="5" t="s">
        <v>1333</v>
      </c>
      <c r="E410" s="5" t="s">
        <v>1438</v>
      </c>
      <c r="F410" s="5" t="s">
        <v>1389</v>
      </c>
      <c r="G410" s="5" t="s">
        <v>2472</v>
      </c>
      <c r="H410" s="5" t="s">
        <v>2488</v>
      </c>
    </row>
    <row r="411" customFormat="false" ht="15" hidden="false" customHeight="false" outlineLevel="0" collapsed="false">
      <c r="A411" s="5" t="s">
        <v>2489</v>
      </c>
      <c r="B411" s="5" t="s">
        <v>2490</v>
      </c>
      <c r="C411" s="5" t="s">
        <v>1383</v>
      </c>
      <c r="D411" s="5" t="s">
        <v>1384</v>
      </c>
      <c r="E411" s="5" t="s">
        <v>1350</v>
      </c>
      <c r="F411" s="5" t="s">
        <v>1351</v>
      </c>
      <c r="G411" s="5" t="s">
        <v>2491</v>
      </c>
      <c r="H411" s="5" t="s">
        <v>2492</v>
      </c>
    </row>
    <row r="412" customFormat="false" ht="15" hidden="false" customHeight="false" outlineLevel="0" collapsed="false">
      <c r="A412" s="5" t="s">
        <v>2493</v>
      </c>
      <c r="B412" s="5" t="s">
        <v>2494</v>
      </c>
      <c r="C412" s="5" t="s">
        <v>1356</v>
      </c>
      <c r="D412" s="5" t="s">
        <v>1357</v>
      </c>
      <c r="E412" s="5" t="s">
        <v>1373</v>
      </c>
      <c r="F412" s="5" t="s">
        <v>1374</v>
      </c>
      <c r="G412" s="5" t="s">
        <v>2495</v>
      </c>
      <c r="H412" s="5" t="s">
        <v>2496</v>
      </c>
    </row>
    <row r="413" customFormat="false" ht="15" hidden="false" customHeight="false" outlineLevel="0" collapsed="false">
      <c r="A413" s="5" t="s">
        <v>2497</v>
      </c>
      <c r="B413" s="5" t="s">
        <v>2498</v>
      </c>
      <c r="C413" s="5" t="s">
        <v>1386</v>
      </c>
      <c r="D413" s="5" t="s">
        <v>1942</v>
      </c>
      <c r="E413" s="5" t="s">
        <v>1326</v>
      </c>
      <c r="F413" s="5" t="s">
        <v>1327</v>
      </c>
      <c r="G413" s="5" t="s">
        <v>2476</v>
      </c>
      <c r="H413" s="5" t="n">
        <v>4324.3</v>
      </c>
    </row>
    <row r="414" customFormat="false" ht="15" hidden="false" customHeight="false" outlineLevel="0" collapsed="false">
      <c r="A414" s="5" t="s">
        <v>2499</v>
      </c>
      <c r="B414" s="5" t="s">
        <v>2500</v>
      </c>
      <c r="C414" s="5" t="s">
        <v>1332</v>
      </c>
      <c r="D414" s="5" t="s">
        <v>1333</v>
      </c>
      <c r="E414" s="5" t="s">
        <v>1350</v>
      </c>
      <c r="F414" s="5" t="s">
        <v>1351</v>
      </c>
      <c r="G414" s="5" t="s">
        <v>2491</v>
      </c>
      <c r="H414" s="5" t="s">
        <v>2501</v>
      </c>
    </row>
    <row r="415" customFormat="false" ht="15" hidden="false" customHeight="false" outlineLevel="0" collapsed="false">
      <c r="A415" s="37" t="n">
        <v>45908</v>
      </c>
      <c r="B415" s="5" t="s">
        <v>2502</v>
      </c>
      <c r="C415" s="5" t="s">
        <v>1453</v>
      </c>
      <c r="D415" s="5" t="s">
        <v>1360</v>
      </c>
      <c r="E415" s="5" t="s">
        <v>1326</v>
      </c>
      <c r="F415" s="5" t="s">
        <v>1341</v>
      </c>
      <c r="G415" s="5" t="s">
        <v>2503</v>
      </c>
      <c r="H415" s="5" t="s">
        <v>2504</v>
      </c>
    </row>
    <row r="416" customFormat="false" ht="15" hidden="false" customHeight="false" outlineLevel="0" collapsed="false">
      <c r="A416" s="5" t="s">
        <v>2505</v>
      </c>
      <c r="B416" s="5" t="s">
        <v>2506</v>
      </c>
      <c r="C416" s="5" t="n">
        <v>789</v>
      </c>
      <c r="D416" s="5" t="s">
        <v>1407</v>
      </c>
      <c r="E416" s="5" t="s">
        <v>1334</v>
      </c>
      <c r="F416" s="5" t="s">
        <v>1335</v>
      </c>
      <c r="G416" s="5" t="s">
        <v>2461</v>
      </c>
      <c r="H416" s="5" t="s">
        <v>2507</v>
      </c>
    </row>
    <row r="417" customFormat="false" ht="15" hidden="false" customHeight="false" outlineLevel="0" collapsed="false">
      <c r="A417" s="5" t="s">
        <v>2508</v>
      </c>
      <c r="B417" s="5" t="s">
        <v>2509</v>
      </c>
      <c r="C417" s="5" t="s">
        <v>1406</v>
      </c>
      <c r="D417" s="5" t="s">
        <v>1407</v>
      </c>
      <c r="E417" s="5" t="s">
        <v>1346</v>
      </c>
      <c r="F417" s="5" t="s">
        <v>1327</v>
      </c>
      <c r="G417" s="5" t="s">
        <v>2476</v>
      </c>
      <c r="H417" s="5" t="s">
        <v>2510</v>
      </c>
    </row>
    <row r="418" customFormat="false" ht="15" hidden="false" customHeight="false" outlineLevel="0" collapsed="false">
      <c r="A418" s="5" t="s">
        <v>2511</v>
      </c>
      <c r="B418" s="5" t="s">
        <v>2512</v>
      </c>
      <c r="C418" s="5" t="s">
        <v>1453</v>
      </c>
      <c r="D418" s="5" t="s">
        <v>1360</v>
      </c>
      <c r="E418" s="5" t="s">
        <v>1438</v>
      </c>
      <c r="F418" s="5" t="s">
        <v>1389</v>
      </c>
      <c r="G418" s="5" t="s">
        <v>2472</v>
      </c>
      <c r="H418" s="5" t="s">
        <v>2513</v>
      </c>
    </row>
    <row r="419" customFormat="false" ht="15" hidden="false" customHeight="false" outlineLevel="0" collapsed="false">
      <c r="A419" s="5" t="s">
        <v>2514</v>
      </c>
      <c r="B419" s="5" t="s">
        <v>2515</v>
      </c>
      <c r="C419" s="5" t="s">
        <v>1383</v>
      </c>
      <c r="D419" s="5" t="s">
        <v>1384</v>
      </c>
      <c r="E419" s="5" t="s">
        <v>1468</v>
      </c>
      <c r="F419" s="5" t="s">
        <v>1335</v>
      </c>
      <c r="G419" s="5" t="s">
        <v>2461</v>
      </c>
      <c r="H419" s="5" t="n">
        <v>4398.29</v>
      </c>
    </row>
    <row r="420" customFormat="false" ht="15" hidden="false" customHeight="false" outlineLevel="0" collapsed="false">
      <c r="A420" s="37" t="n">
        <v>45910</v>
      </c>
      <c r="B420" s="5" t="s">
        <v>2516</v>
      </c>
      <c r="C420" s="5" t="s">
        <v>1371</v>
      </c>
      <c r="D420" s="5" t="s">
        <v>1372</v>
      </c>
      <c r="E420" s="5" t="s">
        <v>1400</v>
      </c>
      <c r="F420" s="5" t="s">
        <v>1401</v>
      </c>
      <c r="G420" s="5" t="s">
        <v>2465</v>
      </c>
      <c r="H420" s="5" t="s">
        <v>2517</v>
      </c>
    </row>
    <row r="421" customFormat="false" ht="15" hidden="false" customHeight="false" outlineLevel="0" collapsed="false">
      <c r="A421" s="5" t="s">
        <v>2518</v>
      </c>
      <c r="B421" s="5" t="s">
        <v>2519</v>
      </c>
      <c r="C421" s="5" t="s">
        <v>1339</v>
      </c>
      <c r="D421" s="5" t="s">
        <v>1340</v>
      </c>
      <c r="E421" s="5" t="s">
        <v>1438</v>
      </c>
      <c r="F421" s="5" t="s">
        <v>1401</v>
      </c>
      <c r="G421" s="5" t="s">
        <v>2465</v>
      </c>
      <c r="H421" s="5" t="s">
        <v>2520</v>
      </c>
    </row>
    <row r="422" customFormat="false" ht="15" hidden="false" customHeight="false" outlineLevel="0" collapsed="false">
      <c r="A422" s="5" t="s">
        <v>2521</v>
      </c>
      <c r="B422" s="5" t="s">
        <v>2522</v>
      </c>
      <c r="C422" s="5" t="s">
        <v>1332</v>
      </c>
      <c r="D422" s="5" t="s">
        <v>1367</v>
      </c>
      <c r="E422" s="5" t="s">
        <v>1416</v>
      </c>
      <c r="F422" s="5" t="s">
        <v>1374</v>
      </c>
      <c r="G422" s="5" t="s">
        <v>2495</v>
      </c>
      <c r="H422" s="5" t="s">
        <v>2523</v>
      </c>
    </row>
    <row r="423" customFormat="false" ht="15" hidden="false" customHeight="false" outlineLevel="0" collapsed="false">
      <c r="A423" s="5" t="s">
        <v>2524</v>
      </c>
      <c r="B423" s="5" t="s">
        <v>2525</v>
      </c>
      <c r="C423" s="5" t="n">
        <v>2020</v>
      </c>
      <c r="D423" s="5" t="s">
        <v>1387</v>
      </c>
      <c r="E423" s="5" t="s">
        <v>1363</v>
      </c>
      <c r="F423" s="5" t="s">
        <v>1341</v>
      </c>
      <c r="G423" s="5" t="s">
        <v>2503</v>
      </c>
      <c r="H423" s="5" t="s">
        <v>2526</v>
      </c>
    </row>
    <row r="424" customFormat="false" ht="15" hidden="false" customHeight="false" outlineLevel="0" collapsed="false">
      <c r="A424" s="5" t="s">
        <v>2527</v>
      </c>
      <c r="B424" s="5" t="s">
        <v>2528</v>
      </c>
      <c r="C424" s="5" t="s">
        <v>1406</v>
      </c>
      <c r="D424" s="5" t="s">
        <v>1717</v>
      </c>
      <c r="E424" s="5" t="s">
        <v>1416</v>
      </c>
      <c r="F424" s="5" t="s">
        <v>1335</v>
      </c>
      <c r="G424" s="5" t="s">
        <v>2461</v>
      </c>
      <c r="H424" s="5" t="s">
        <v>2529</v>
      </c>
    </row>
    <row r="425" customFormat="false" ht="15" hidden="false" customHeight="false" outlineLevel="0" collapsed="false">
      <c r="A425" s="37" t="n">
        <v>45914</v>
      </c>
      <c r="B425" s="5" t="s">
        <v>2530</v>
      </c>
      <c r="C425" s="5" t="s">
        <v>1356</v>
      </c>
      <c r="D425" s="5" t="s">
        <v>1357</v>
      </c>
      <c r="E425" s="5" t="s">
        <v>1346</v>
      </c>
      <c r="F425" s="5" t="s">
        <v>1327</v>
      </c>
      <c r="G425" s="5" t="s">
        <v>2476</v>
      </c>
      <c r="H425" s="5" t="n">
        <v>4295.41</v>
      </c>
    </row>
    <row r="426" customFormat="false" ht="15" hidden="false" customHeight="false" outlineLevel="0" collapsed="false">
      <c r="A426" s="5" t="s">
        <v>2531</v>
      </c>
      <c r="B426" s="5" t="s">
        <v>2532</v>
      </c>
      <c r="C426" s="5" t="s">
        <v>1324</v>
      </c>
      <c r="D426" s="5" t="s">
        <v>1325</v>
      </c>
      <c r="E426" s="5" t="s">
        <v>1346</v>
      </c>
      <c r="F426" s="5" t="s">
        <v>1327</v>
      </c>
      <c r="G426" s="5" t="s">
        <v>2476</v>
      </c>
      <c r="H426" s="5" t="s">
        <v>2533</v>
      </c>
    </row>
    <row r="427" customFormat="false" ht="15" hidden="false" customHeight="false" outlineLevel="0" collapsed="false">
      <c r="A427" s="5" t="s">
        <v>2534</v>
      </c>
      <c r="B427" s="5" t="s">
        <v>2535</v>
      </c>
      <c r="C427" s="5" t="s">
        <v>1383</v>
      </c>
      <c r="D427" s="5" t="s">
        <v>1384</v>
      </c>
      <c r="E427" s="5" t="s">
        <v>1427</v>
      </c>
      <c r="F427" s="5" t="s">
        <v>1431</v>
      </c>
      <c r="G427" s="5" t="s">
        <v>2536</v>
      </c>
      <c r="H427" s="5" t="s">
        <v>2537</v>
      </c>
    </row>
    <row r="428" customFormat="false" ht="15" hidden="false" customHeight="false" outlineLevel="0" collapsed="false">
      <c r="A428" s="5" t="s">
        <v>2538</v>
      </c>
      <c r="B428" s="5" t="s">
        <v>2539</v>
      </c>
      <c r="C428" s="5" t="s">
        <v>1383</v>
      </c>
      <c r="D428" s="5" t="s">
        <v>1384</v>
      </c>
      <c r="E428" s="5" t="s">
        <v>1416</v>
      </c>
      <c r="F428" s="5" t="s">
        <v>1335</v>
      </c>
      <c r="G428" s="5" t="s">
        <v>2461</v>
      </c>
      <c r="H428" s="5" t="s">
        <v>2540</v>
      </c>
    </row>
    <row r="429" customFormat="false" ht="15" hidden="false" customHeight="false" outlineLevel="0" collapsed="false">
      <c r="A429" s="5" t="s">
        <v>2541</v>
      </c>
      <c r="B429" s="5" t="s">
        <v>2542</v>
      </c>
      <c r="C429" s="5" t="s">
        <v>1339</v>
      </c>
      <c r="D429" s="5" t="s">
        <v>1340</v>
      </c>
      <c r="E429" s="5" t="s">
        <v>1388</v>
      </c>
      <c r="F429" s="5" t="s">
        <v>1389</v>
      </c>
      <c r="G429" s="5" t="s">
        <v>2472</v>
      </c>
      <c r="H429" s="5" t="s">
        <v>2543</v>
      </c>
    </row>
    <row r="430" customFormat="false" ht="15" hidden="false" customHeight="false" outlineLevel="0" collapsed="false">
      <c r="A430" s="37" t="n">
        <v>45916</v>
      </c>
      <c r="B430" s="5" t="s">
        <v>2544</v>
      </c>
      <c r="C430" s="5" t="n">
        <v>4040</v>
      </c>
      <c r="D430" s="5" t="s">
        <v>1340</v>
      </c>
      <c r="E430" s="5" t="s">
        <v>1468</v>
      </c>
      <c r="F430" s="5" t="s">
        <v>1335</v>
      </c>
      <c r="G430" s="5" t="s">
        <v>2461</v>
      </c>
      <c r="H430" s="5" t="s">
        <v>2545</v>
      </c>
    </row>
    <row r="431" customFormat="false" ht="15" hidden="false" customHeight="false" outlineLevel="0" collapsed="false">
      <c r="A431" s="5" t="s">
        <v>2546</v>
      </c>
      <c r="B431" s="5" t="s">
        <v>2547</v>
      </c>
      <c r="C431" s="5" t="s">
        <v>1324</v>
      </c>
      <c r="D431" s="5" t="s">
        <v>1413</v>
      </c>
      <c r="E431" s="5" t="s">
        <v>1450</v>
      </c>
      <c r="F431" s="5" t="s">
        <v>1401</v>
      </c>
      <c r="G431" s="5" t="s">
        <v>2465</v>
      </c>
      <c r="H431" s="5" t="n">
        <v>2943.4</v>
      </c>
    </row>
    <row r="432" customFormat="false" ht="15" hidden="false" customHeight="false" outlineLevel="0" collapsed="false">
      <c r="A432" s="5" t="s">
        <v>2548</v>
      </c>
      <c r="B432" s="5" t="s">
        <v>2549</v>
      </c>
      <c r="C432" s="5" t="s">
        <v>1324</v>
      </c>
      <c r="D432" s="5" t="s">
        <v>1325</v>
      </c>
      <c r="E432" s="5" t="s">
        <v>1468</v>
      </c>
      <c r="F432" s="5" t="s">
        <v>1374</v>
      </c>
      <c r="G432" s="5" t="s">
        <v>2495</v>
      </c>
      <c r="H432" s="5" t="s">
        <v>2550</v>
      </c>
    </row>
    <row r="433" customFormat="false" ht="15" hidden="false" customHeight="false" outlineLevel="0" collapsed="false">
      <c r="A433" s="5" t="s">
        <v>2551</v>
      </c>
      <c r="B433" s="5" t="s">
        <v>2552</v>
      </c>
      <c r="C433" s="5" t="s">
        <v>1324</v>
      </c>
      <c r="D433" s="5" t="s">
        <v>1325</v>
      </c>
      <c r="E433" s="5" t="s">
        <v>1363</v>
      </c>
      <c r="F433" s="5" t="s">
        <v>1327</v>
      </c>
      <c r="G433" s="5" t="s">
        <v>2476</v>
      </c>
      <c r="H433" s="5" t="s">
        <v>2553</v>
      </c>
    </row>
    <row r="434" customFormat="false" ht="15" hidden="false" customHeight="false" outlineLevel="0" collapsed="false">
      <c r="A434" s="5" t="s">
        <v>2554</v>
      </c>
      <c r="B434" s="5" t="s">
        <v>2555</v>
      </c>
      <c r="C434" s="5" t="s">
        <v>1406</v>
      </c>
      <c r="D434" s="5" t="s">
        <v>1407</v>
      </c>
      <c r="E434" s="5" t="s">
        <v>1350</v>
      </c>
      <c r="F434" s="5" t="s">
        <v>1409</v>
      </c>
      <c r="G434" s="5" t="s">
        <v>2469</v>
      </c>
      <c r="H434" s="5" t="s">
        <v>2556</v>
      </c>
    </row>
    <row r="435" customFormat="false" ht="15" hidden="false" customHeight="false" outlineLevel="0" collapsed="false">
      <c r="A435" s="37" t="n">
        <v>45919</v>
      </c>
      <c r="B435" s="5" t="s">
        <v>2557</v>
      </c>
      <c r="C435" s="5" t="s">
        <v>1356</v>
      </c>
      <c r="D435" s="5" t="s">
        <v>1559</v>
      </c>
      <c r="E435" s="5" t="s">
        <v>1427</v>
      </c>
      <c r="F435" s="5" t="s">
        <v>1320</v>
      </c>
      <c r="G435" s="5" t="s">
        <v>2480</v>
      </c>
      <c r="H435" s="5" t="s">
        <v>2558</v>
      </c>
    </row>
    <row r="436" customFormat="false" ht="15" hidden="false" customHeight="false" outlineLevel="0" collapsed="false">
      <c r="A436" s="5" t="s">
        <v>2559</v>
      </c>
      <c r="B436" s="5" t="s">
        <v>2560</v>
      </c>
      <c r="C436" s="5" t="s">
        <v>1332</v>
      </c>
      <c r="D436" s="5" t="s">
        <v>1333</v>
      </c>
      <c r="E436" s="5" t="s">
        <v>1334</v>
      </c>
      <c r="F436" s="5" t="s">
        <v>1374</v>
      </c>
      <c r="G436" s="5" t="s">
        <v>2495</v>
      </c>
      <c r="H436" s="5" t="s">
        <v>2561</v>
      </c>
    </row>
    <row r="437" customFormat="false" ht="15" hidden="false" customHeight="false" outlineLevel="0" collapsed="false">
      <c r="A437" s="5" t="s">
        <v>1309</v>
      </c>
      <c r="B437" s="5" t="s">
        <v>1310</v>
      </c>
      <c r="C437" s="5" t="s">
        <v>1311</v>
      </c>
      <c r="D437" s="5" t="s">
        <v>1312</v>
      </c>
      <c r="E437" s="5" t="s">
        <v>1313</v>
      </c>
      <c r="F437" s="5" t="s">
        <v>1314</v>
      </c>
      <c r="G437" s="5" t="s">
        <v>1315</v>
      </c>
      <c r="H437" s="5" t="s">
        <v>90</v>
      </c>
    </row>
    <row r="438" customFormat="false" ht="15" hidden="false" customHeight="false" outlineLevel="0" collapsed="false">
      <c r="A438" s="5" t="s">
        <v>2562</v>
      </c>
      <c r="B438" s="5" t="s">
        <v>2563</v>
      </c>
      <c r="C438" s="5" t="n">
        <v>123</v>
      </c>
      <c r="D438" s="5" t="s">
        <v>1360</v>
      </c>
      <c r="E438" s="5" t="s">
        <v>1468</v>
      </c>
      <c r="F438" s="5" t="s">
        <v>1335</v>
      </c>
      <c r="G438" s="5" t="s">
        <v>2461</v>
      </c>
      <c r="H438" s="5" t="n">
        <v>4502.33</v>
      </c>
    </row>
    <row r="439" customFormat="false" ht="15" hidden="false" customHeight="false" outlineLevel="0" collapsed="false">
      <c r="A439" s="5" t="s">
        <v>2564</v>
      </c>
      <c r="B439" s="5" t="s">
        <v>2565</v>
      </c>
      <c r="C439" s="5" t="s">
        <v>1332</v>
      </c>
      <c r="D439" s="5" t="s">
        <v>1333</v>
      </c>
      <c r="E439" s="5" t="s">
        <v>1468</v>
      </c>
      <c r="F439" s="5" t="s">
        <v>1335</v>
      </c>
      <c r="G439" s="5" t="s">
        <v>2461</v>
      </c>
      <c r="H439" s="5" t="s">
        <v>2566</v>
      </c>
    </row>
    <row r="440" customFormat="false" ht="15" hidden="false" customHeight="false" outlineLevel="0" collapsed="false">
      <c r="A440" s="5" t="s">
        <v>2567</v>
      </c>
      <c r="B440" s="5" t="s">
        <v>2568</v>
      </c>
      <c r="C440" s="5" t="s">
        <v>1339</v>
      </c>
      <c r="D440" s="5" t="s">
        <v>1340</v>
      </c>
      <c r="E440" s="5" t="s">
        <v>1450</v>
      </c>
      <c r="F440" s="5" t="s">
        <v>1389</v>
      </c>
      <c r="G440" s="5" t="s">
        <v>2472</v>
      </c>
      <c r="H440" s="5" t="s">
        <v>2569</v>
      </c>
    </row>
    <row r="441" customFormat="false" ht="15" hidden="false" customHeight="false" outlineLevel="0" collapsed="false">
      <c r="A441" s="37" t="n">
        <v>45920</v>
      </c>
      <c r="B441" s="5" t="s">
        <v>2570</v>
      </c>
      <c r="C441" s="5" t="s">
        <v>1406</v>
      </c>
      <c r="D441" s="5" t="s">
        <v>1732</v>
      </c>
      <c r="E441" s="5" t="s">
        <v>1346</v>
      </c>
      <c r="F441" s="5" t="s">
        <v>1341</v>
      </c>
      <c r="G441" s="5" t="s">
        <v>2503</v>
      </c>
      <c r="H441" s="5" t="s">
        <v>2571</v>
      </c>
    </row>
    <row r="442" customFormat="false" ht="15" hidden="false" customHeight="false" outlineLevel="0" collapsed="false">
      <c r="A442" s="5" t="s">
        <v>2572</v>
      </c>
      <c r="B442" s="5" t="s">
        <v>2573</v>
      </c>
      <c r="C442" s="5" t="s">
        <v>1332</v>
      </c>
      <c r="D442" s="5" t="s">
        <v>1333</v>
      </c>
      <c r="E442" s="5" t="s">
        <v>1408</v>
      </c>
      <c r="F442" s="5" t="s">
        <v>1409</v>
      </c>
      <c r="G442" s="5" t="s">
        <v>2469</v>
      </c>
      <c r="H442" s="5" t="s">
        <v>2574</v>
      </c>
    </row>
    <row r="443" customFormat="false" ht="15" hidden="false" customHeight="false" outlineLevel="0" collapsed="false">
      <c r="A443" s="5" t="s">
        <v>2575</v>
      </c>
      <c r="B443" s="5" t="s">
        <v>2576</v>
      </c>
      <c r="C443" s="5" t="s">
        <v>1406</v>
      </c>
      <c r="D443" s="5" t="s">
        <v>1407</v>
      </c>
      <c r="E443" s="5" t="s">
        <v>1346</v>
      </c>
      <c r="F443" s="5" t="s">
        <v>1327</v>
      </c>
      <c r="G443" s="5" t="s">
        <v>2476</v>
      </c>
      <c r="H443" s="5" t="s">
        <v>2577</v>
      </c>
    </row>
    <row r="444" customFormat="false" ht="15" hidden="false" customHeight="false" outlineLevel="0" collapsed="false">
      <c r="A444" s="5" t="s">
        <v>2578</v>
      </c>
      <c r="B444" s="5" t="s">
        <v>2579</v>
      </c>
      <c r="C444" s="5" t="s">
        <v>1406</v>
      </c>
      <c r="D444" s="5" t="s">
        <v>1407</v>
      </c>
      <c r="E444" s="5" t="s">
        <v>1468</v>
      </c>
      <c r="F444" s="5" t="s">
        <v>1374</v>
      </c>
      <c r="G444" s="5" t="s">
        <v>2495</v>
      </c>
      <c r="H444" s="5" t="n">
        <v>4456.78</v>
      </c>
    </row>
    <row r="445" customFormat="false" ht="15" hidden="false" customHeight="false" outlineLevel="0" collapsed="false">
      <c r="A445" s="5" t="s">
        <v>2580</v>
      </c>
      <c r="B445" s="5" t="s">
        <v>2581</v>
      </c>
      <c r="C445" s="5" t="n">
        <v>3003</v>
      </c>
      <c r="D445" s="5" t="s">
        <v>1372</v>
      </c>
      <c r="E445" s="5" t="s">
        <v>1408</v>
      </c>
      <c r="F445" s="5" t="s">
        <v>1351</v>
      </c>
      <c r="G445" s="5" t="s">
        <v>2491</v>
      </c>
      <c r="H445" s="5" t="s">
        <v>2582</v>
      </c>
    </row>
    <row r="446" customFormat="false" ht="15" hidden="false" customHeight="false" outlineLevel="0" collapsed="false">
      <c r="A446" s="37" t="n">
        <v>45923</v>
      </c>
      <c r="B446" s="5" t="s">
        <v>2583</v>
      </c>
      <c r="C446" s="5" t="s">
        <v>1453</v>
      </c>
      <c r="D446" s="5" t="s">
        <v>1360</v>
      </c>
      <c r="E446" s="5" t="s">
        <v>1408</v>
      </c>
      <c r="F446" s="5" t="s">
        <v>1351</v>
      </c>
      <c r="G446" s="5" t="s">
        <v>2491</v>
      </c>
      <c r="H446" s="5" t="s">
        <v>2584</v>
      </c>
    </row>
    <row r="447" customFormat="false" ht="15" hidden="false" customHeight="false" outlineLevel="0" collapsed="false">
      <c r="A447" s="5" t="s">
        <v>2585</v>
      </c>
      <c r="B447" s="5" t="s">
        <v>2586</v>
      </c>
      <c r="C447" s="5" t="s">
        <v>1386</v>
      </c>
      <c r="D447" s="5" t="s">
        <v>1617</v>
      </c>
      <c r="E447" s="5" t="s">
        <v>1496</v>
      </c>
      <c r="F447" s="5" t="s">
        <v>1351</v>
      </c>
      <c r="G447" s="5" t="s">
        <v>2491</v>
      </c>
      <c r="H447" s="5" t="s">
        <v>2587</v>
      </c>
    </row>
    <row r="448" customFormat="false" ht="15" hidden="false" customHeight="false" outlineLevel="0" collapsed="false">
      <c r="A448" s="5" t="s">
        <v>2588</v>
      </c>
      <c r="B448" s="5" t="s">
        <v>2589</v>
      </c>
      <c r="C448" s="5" t="s">
        <v>1339</v>
      </c>
      <c r="D448" s="5" t="s">
        <v>1340</v>
      </c>
      <c r="E448" s="5" t="s">
        <v>1388</v>
      </c>
      <c r="F448" s="5" t="s">
        <v>1389</v>
      </c>
      <c r="G448" s="5" t="s">
        <v>2472</v>
      </c>
      <c r="H448" s="5" t="s">
        <v>2590</v>
      </c>
    </row>
    <row r="449" customFormat="false" ht="15" hidden="false" customHeight="false" outlineLevel="0" collapsed="false">
      <c r="A449" s="5" t="s">
        <v>2591</v>
      </c>
      <c r="B449" s="5" t="s">
        <v>2592</v>
      </c>
      <c r="C449" s="5" t="s">
        <v>1371</v>
      </c>
      <c r="D449" s="5" t="s">
        <v>1372</v>
      </c>
      <c r="E449" s="5" t="s">
        <v>1319</v>
      </c>
      <c r="F449" s="5" t="s">
        <v>1320</v>
      </c>
      <c r="G449" s="5" t="s">
        <v>2480</v>
      </c>
      <c r="H449" s="5" t="s">
        <v>2593</v>
      </c>
    </row>
    <row r="450" customFormat="false" ht="15" hidden="false" customHeight="false" outlineLevel="0" collapsed="false">
      <c r="A450" s="5" t="s">
        <v>2594</v>
      </c>
      <c r="B450" s="5" t="s">
        <v>2595</v>
      </c>
      <c r="C450" s="5" t="s">
        <v>1332</v>
      </c>
      <c r="D450" s="5" t="s">
        <v>1367</v>
      </c>
      <c r="E450" s="5" t="s">
        <v>1416</v>
      </c>
      <c r="F450" s="5" t="s">
        <v>1335</v>
      </c>
      <c r="G450" s="5" t="s">
        <v>2461</v>
      </c>
      <c r="H450" s="5" t="n">
        <v>2525.21</v>
      </c>
    </row>
    <row r="451" customFormat="false" ht="15" hidden="false" customHeight="false" outlineLevel="0" collapsed="false">
      <c r="A451" s="37" t="n">
        <v>45924</v>
      </c>
      <c r="B451" s="5" t="s">
        <v>2596</v>
      </c>
      <c r="C451" s="5" t="s">
        <v>1383</v>
      </c>
      <c r="D451" s="5" t="s">
        <v>1384</v>
      </c>
      <c r="E451" s="5" t="s">
        <v>1373</v>
      </c>
      <c r="F451" s="5" t="s">
        <v>1374</v>
      </c>
      <c r="G451" s="5" t="s">
        <v>2495</v>
      </c>
      <c r="H451" s="5" t="s">
        <v>2597</v>
      </c>
    </row>
    <row r="452" customFormat="false" ht="15" hidden="false" customHeight="false" outlineLevel="0" collapsed="false">
      <c r="A452" s="5" t="s">
        <v>2598</v>
      </c>
      <c r="B452" s="5" t="s">
        <v>2599</v>
      </c>
      <c r="C452" s="5" t="n">
        <v>4040</v>
      </c>
      <c r="D452" s="5" t="s">
        <v>1340</v>
      </c>
      <c r="E452" s="5" t="s">
        <v>1468</v>
      </c>
      <c r="F452" s="5" t="s">
        <v>1335</v>
      </c>
      <c r="G452" s="5" t="s">
        <v>2461</v>
      </c>
      <c r="H452" s="5" t="s">
        <v>2600</v>
      </c>
    </row>
    <row r="453" customFormat="false" ht="15" hidden="false" customHeight="false" outlineLevel="0" collapsed="false">
      <c r="A453" s="5" t="s">
        <v>2601</v>
      </c>
      <c r="B453" s="5" t="s">
        <v>2602</v>
      </c>
      <c r="C453" s="5" t="s">
        <v>1453</v>
      </c>
      <c r="D453" s="5" t="s">
        <v>1360</v>
      </c>
      <c r="E453" s="5" t="s">
        <v>1388</v>
      </c>
      <c r="F453" s="5" t="s">
        <v>1401</v>
      </c>
      <c r="G453" s="5" t="s">
        <v>2465</v>
      </c>
      <c r="H453" s="5" t="s">
        <v>2603</v>
      </c>
    </row>
    <row r="454" customFormat="false" ht="15" hidden="false" customHeight="false" outlineLevel="0" collapsed="false">
      <c r="A454" s="5" t="s">
        <v>2604</v>
      </c>
      <c r="B454" s="5" t="s">
        <v>2605</v>
      </c>
      <c r="C454" s="5" t="s">
        <v>1324</v>
      </c>
      <c r="D454" s="5" t="s">
        <v>1325</v>
      </c>
      <c r="E454" s="5" t="s">
        <v>1363</v>
      </c>
      <c r="F454" s="5" t="s">
        <v>1327</v>
      </c>
      <c r="G454" s="5" t="s">
        <v>2476</v>
      </c>
      <c r="H454" s="5" t="s">
        <v>2606</v>
      </c>
    </row>
    <row r="455" customFormat="false" ht="15" hidden="false" customHeight="false" outlineLevel="0" collapsed="false">
      <c r="A455" s="5" t="s">
        <v>2607</v>
      </c>
      <c r="B455" s="5" t="s">
        <v>2608</v>
      </c>
      <c r="C455" s="5" t="s">
        <v>1386</v>
      </c>
      <c r="D455" s="5" t="s">
        <v>1387</v>
      </c>
      <c r="E455" s="5" t="s">
        <v>1326</v>
      </c>
      <c r="F455" s="5" t="s">
        <v>1341</v>
      </c>
      <c r="G455" s="5" t="s">
        <v>2503</v>
      </c>
      <c r="H455" s="5" t="s">
        <v>2609</v>
      </c>
    </row>
    <row r="456" customFormat="false" ht="15" hidden="false" customHeight="false" outlineLevel="0" collapsed="false">
      <c r="A456" s="37" t="n">
        <v>45928</v>
      </c>
      <c r="B456" s="5" t="s">
        <v>2610</v>
      </c>
      <c r="C456" s="5" t="s">
        <v>1339</v>
      </c>
      <c r="D456" s="5" t="s">
        <v>1340</v>
      </c>
      <c r="E456" s="5" t="s">
        <v>1496</v>
      </c>
      <c r="F456" s="5" t="s">
        <v>1351</v>
      </c>
      <c r="G456" s="5" t="s">
        <v>2491</v>
      </c>
      <c r="H456" s="5" t="n">
        <v>2861.84</v>
      </c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</row>
    <row r="458" customFormat="false" ht="15" hidden="false" customHeight="false" outlineLevel="0" collapsed="false">
      <c r="A458" s="5" t="s">
        <v>2611</v>
      </c>
      <c r="B458" s="5" t="s">
        <v>2612</v>
      </c>
      <c r="C458" s="5" t="s">
        <v>1332</v>
      </c>
      <c r="D458" s="5" t="s">
        <v>1333</v>
      </c>
      <c r="E458" s="5" t="s">
        <v>1416</v>
      </c>
      <c r="F458" s="5" t="s">
        <v>1374</v>
      </c>
      <c r="G458" s="5" t="s">
        <v>2495</v>
      </c>
      <c r="H458" s="5" t="s">
        <v>2613</v>
      </c>
    </row>
    <row r="459" customFormat="false" ht="15" hidden="false" customHeight="false" outlineLevel="0" collapsed="false">
      <c r="A459" s="5" t="s">
        <v>2614</v>
      </c>
      <c r="B459" s="5"/>
      <c r="C459" s="5"/>
      <c r="D459" s="5"/>
      <c r="E459" s="5"/>
      <c r="F459" s="5"/>
      <c r="G459" s="5"/>
      <c r="H459" s="5" t="s">
        <v>2615</v>
      </c>
    </row>
    <row r="460" customFormat="false" ht="15" hidden="false" customHeight="false" outlineLevel="0" collapsed="false">
      <c r="A460" s="5" t="s">
        <v>2616</v>
      </c>
      <c r="B460" s="5" t="s">
        <v>2617</v>
      </c>
      <c r="C460" s="5" t="s">
        <v>1339</v>
      </c>
      <c r="D460" s="5" t="s">
        <v>1379</v>
      </c>
      <c r="E460" s="5" t="s">
        <v>1363</v>
      </c>
      <c r="F460" s="5" t="s">
        <v>1327</v>
      </c>
      <c r="G460" s="5" t="s">
        <v>2618</v>
      </c>
      <c r="H460" s="5" t="s">
        <v>2619</v>
      </c>
    </row>
    <row r="461" customFormat="false" ht="15" hidden="false" customHeight="false" outlineLevel="0" collapsed="false">
      <c r="A461" s="5" t="s">
        <v>2620</v>
      </c>
      <c r="B461" s="5" t="s">
        <v>2621</v>
      </c>
      <c r="C461" s="5" t="n">
        <v>1011</v>
      </c>
      <c r="D461" s="5" t="s">
        <v>1413</v>
      </c>
      <c r="E461" s="5" t="s">
        <v>1319</v>
      </c>
      <c r="F461" s="5" t="s">
        <v>1320</v>
      </c>
      <c r="G461" s="5" t="s">
        <v>2622</v>
      </c>
      <c r="H461" s="5" t="s">
        <v>2623</v>
      </c>
    </row>
    <row r="462" customFormat="false" ht="15" hidden="false" customHeight="false" outlineLevel="0" collapsed="false">
      <c r="A462" s="5" t="s">
        <v>2624</v>
      </c>
      <c r="B462" s="5" t="s">
        <v>2625</v>
      </c>
      <c r="C462" s="5" t="s">
        <v>1453</v>
      </c>
      <c r="D462" s="5" t="s">
        <v>1360</v>
      </c>
      <c r="E462" s="5" t="s">
        <v>1346</v>
      </c>
      <c r="F462" s="5" t="s">
        <v>1341</v>
      </c>
      <c r="G462" s="5" t="s">
        <v>2626</v>
      </c>
      <c r="H462" s="5" t="s">
        <v>2627</v>
      </c>
    </row>
    <row r="463" customFormat="false" ht="15" hidden="false" customHeight="false" outlineLevel="0" collapsed="false">
      <c r="A463" s="37" t="n">
        <v>45933</v>
      </c>
      <c r="B463" s="5" t="s">
        <v>2628</v>
      </c>
      <c r="C463" s="5" t="s">
        <v>1339</v>
      </c>
      <c r="D463" s="5" t="s">
        <v>1340</v>
      </c>
      <c r="E463" s="5" t="s">
        <v>1427</v>
      </c>
      <c r="F463" s="5" t="s">
        <v>1431</v>
      </c>
      <c r="G463" s="5" t="s">
        <v>2629</v>
      </c>
      <c r="H463" s="5" t="s">
        <v>2630</v>
      </c>
    </row>
    <row r="464" customFormat="false" ht="15" hidden="false" customHeight="false" outlineLevel="0" collapsed="false">
      <c r="A464" s="5" t="s">
        <v>2631</v>
      </c>
      <c r="B464" s="5" t="s">
        <v>2632</v>
      </c>
      <c r="C464" s="5" t="s">
        <v>1332</v>
      </c>
      <c r="D464" s="5" t="s">
        <v>1333</v>
      </c>
      <c r="E464" s="5" t="s">
        <v>1408</v>
      </c>
      <c r="F464" s="5" t="s">
        <v>1351</v>
      </c>
      <c r="G464" s="5" t="s">
        <v>2633</v>
      </c>
      <c r="H464" s="5" t="n">
        <v>5861.75</v>
      </c>
    </row>
    <row r="465" customFormat="false" ht="15" hidden="false" customHeight="false" outlineLevel="0" collapsed="false">
      <c r="A465" s="5" t="s">
        <v>2634</v>
      </c>
      <c r="B465" s="5" t="s">
        <v>2635</v>
      </c>
      <c r="C465" s="5" t="s">
        <v>1339</v>
      </c>
      <c r="D465" s="5" t="s">
        <v>1340</v>
      </c>
      <c r="E465" s="5" t="s">
        <v>1350</v>
      </c>
      <c r="F465" s="5" t="s">
        <v>1351</v>
      </c>
      <c r="G465" s="5" t="s">
        <v>2633</v>
      </c>
      <c r="H465" s="5" t="s">
        <v>2636</v>
      </c>
    </row>
    <row r="466" customFormat="false" ht="15" hidden="false" customHeight="false" outlineLevel="0" collapsed="false">
      <c r="A466" s="5" t="s">
        <v>2637</v>
      </c>
      <c r="B466" s="5" t="s">
        <v>2638</v>
      </c>
      <c r="C466" s="5" t="s">
        <v>1324</v>
      </c>
      <c r="D466" s="5" t="s">
        <v>1325</v>
      </c>
      <c r="E466" s="5" t="s">
        <v>1416</v>
      </c>
      <c r="F466" s="5" t="s">
        <v>1374</v>
      </c>
      <c r="G466" s="5" t="s">
        <v>2639</v>
      </c>
      <c r="H466" s="5" t="s">
        <v>2640</v>
      </c>
    </row>
    <row r="467" customFormat="false" ht="15" hidden="false" customHeight="false" outlineLevel="0" collapsed="false">
      <c r="A467" s="5" t="s">
        <v>2641</v>
      </c>
      <c r="B467" s="5" t="s">
        <v>2642</v>
      </c>
      <c r="C467" s="5" t="s">
        <v>1332</v>
      </c>
      <c r="D467" s="5" t="s">
        <v>1333</v>
      </c>
      <c r="E467" s="5" t="s">
        <v>1438</v>
      </c>
      <c r="F467" s="5" t="s">
        <v>1389</v>
      </c>
      <c r="G467" s="5" t="s">
        <v>2643</v>
      </c>
      <c r="H467" s="5" t="s">
        <v>2644</v>
      </c>
    </row>
    <row r="468" customFormat="false" ht="15" hidden="false" customHeight="false" outlineLevel="0" collapsed="false">
      <c r="A468" s="37" t="n">
        <v>45935</v>
      </c>
      <c r="B468" s="5" t="s">
        <v>2645</v>
      </c>
      <c r="C468" s="5" t="n">
        <v>1011</v>
      </c>
      <c r="D468" s="5" t="s">
        <v>1325</v>
      </c>
      <c r="E468" s="5" t="s">
        <v>1416</v>
      </c>
      <c r="F468" s="5" t="s">
        <v>1335</v>
      </c>
      <c r="G468" s="5" t="s">
        <v>2646</v>
      </c>
      <c r="H468" s="5" t="s">
        <v>2647</v>
      </c>
    </row>
    <row r="469" customFormat="false" ht="15" hidden="false" customHeight="false" outlineLevel="0" collapsed="false">
      <c r="A469" s="5" t="s">
        <v>2648</v>
      </c>
      <c r="B469" s="5" t="s">
        <v>2649</v>
      </c>
      <c r="C469" s="5" t="s">
        <v>1324</v>
      </c>
      <c r="D469" s="5" t="s">
        <v>1325</v>
      </c>
      <c r="E469" s="5" t="s">
        <v>1450</v>
      </c>
      <c r="F469" s="5" t="s">
        <v>1401</v>
      </c>
      <c r="G469" s="5" t="s">
        <v>2650</v>
      </c>
      <c r="H469" s="5" t="s">
        <v>2651</v>
      </c>
    </row>
    <row r="470" customFormat="false" ht="15" hidden="false" customHeight="false" outlineLevel="0" collapsed="false">
      <c r="A470" s="5" t="s">
        <v>2652</v>
      </c>
      <c r="B470" s="5" t="s">
        <v>2653</v>
      </c>
      <c r="C470" s="5" t="s">
        <v>1371</v>
      </c>
      <c r="D470" s="5" t="s">
        <v>1492</v>
      </c>
      <c r="E470" s="5" t="s">
        <v>1416</v>
      </c>
      <c r="F470" s="5" t="s">
        <v>1335</v>
      </c>
      <c r="G470" s="5" t="s">
        <v>2646</v>
      </c>
      <c r="H470" s="5" t="n">
        <v>2255</v>
      </c>
    </row>
    <row r="471" customFormat="false" ht="15" hidden="false" customHeight="false" outlineLevel="0" collapsed="false">
      <c r="A471" s="5" t="s">
        <v>2654</v>
      </c>
      <c r="B471" s="5" t="s">
        <v>2655</v>
      </c>
      <c r="C471" s="5" t="s">
        <v>1339</v>
      </c>
      <c r="D471" s="5" t="s">
        <v>1379</v>
      </c>
      <c r="E471" s="5" t="s">
        <v>1450</v>
      </c>
      <c r="F471" s="5" t="s">
        <v>1389</v>
      </c>
      <c r="G471" s="5" t="s">
        <v>2643</v>
      </c>
      <c r="H471" s="5" t="s">
        <v>2656</v>
      </c>
    </row>
    <row r="472" customFormat="false" ht="15" hidden="false" customHeight="false" outlineLevel="0" collapsed="false">
      <c r="A472" s="5" t="s">
        <v>2657</v>
      </c>
      <c r="B472" s="5" t="s">
        <v>2658</v>
      </c>
      <c r="C472" s="5" t="s">
        <v>1324</v>
      </c>
      <c r="D472" s="5" t="s">
        <v>1325</v>
      </c>
      <c r="E472" s="5" t="s">
        <v>1416</v>
      </c>
      <c r="F472" s="5" t="s">
        <v>1335</v>
      </c>
      <c r="G472" s="5" t="s">
        <v>2646</v>
      </c>
      <c r="H472" s="5" t="s">
        <v>2659</v>
      </c>
    </row>
    <row r="473" customFormat="false" ht="15" hidden="false" customHeight="false" outlineLevel="0" collapsed="false">
      <c r="A473" s="37" t="n">
        <v>45940</v>
      </c>
      <c r="B473" s="5" t="s">
        <v>2660</v>
      </c>
      <c r="C473" s="5" t="s">
        <v>1324</v>
      </c>
      <c r="D473" s="5" t="s">
        <v>1325</v>
      </c>
      <c r="E473" s="5" t="s">
        <v>1350</v>
      </c>
      <c r="F473" s="5" t="s">
        <v>1351</v>
      </c>
      <c r="G473" s="5" t="s">
        <v>2633</v>
      </c>
      <c r="H473" s="5" t="s">
        <v>2661</v>
      </c>
    </row>
    <row r="474" customFormat="false" ht="15" hidden="false" customHeight="false" outlineLevel="0" collapsed="false">
      <c r="A474" s="5" t="s">
        <v>2662</v>
      </c>
      <c r="B474" s="5" t="s">
        <v>2663</v>
      </c>
      <c r="C474" s="5" t="s">
        <v>1324</v>
      </c>
      <c r="D474" s="5" t="s">
        <v>1325</v>
      </c>
      <c r="E474" s="5" t="s">
        <v>1416</v>
      </c>
      <c r="F474" s="5" t="s">
        <v>1374</v>
      </c>
      <c r="G474" s="5" t="s">
        <v>2639</v>
      </c>
      <c r="H474" s="5" t="s">
        <v>2664</v>
      </c>
    </row>
    <row r="475" customFormat="false" ht="15" hidden="false" customHeight="false" outlineLevel="0" collapsed="false">
      <c r="A475" s="5" t="s">
        <v>2665</v>
      </c>
      <c r="B475" s="5" t="s">
        <v>2666</v>
      </c>
      <c r="C475" s="5" t="n">
        <v>456</v>
      </c>
      <c r="D475" s="5" t="s">
        <v>1333</v>
      </c>
      <c r="E475" s="5" t="s">
        <v>1346</v>
      </c>
      <c r="F475" s="5" t="s">
        <v>1327</v>
      </c>
      <c r="G475" s="5" t="s">
        <v>2618</v>
      </c>
      <c r="H475" s="5" t="s">
        <v>2667</v>
      </c>
    </row>
    <row r="476" customFormat="false" ht="15" hidden="false" customHeight="false" outlineLevel="0" collapsed="false">
      <c r="A476" s="5" t="s">
        <v>2668</v>
      </c>
      <c r="B476" s="5" t="s">
        <v>2669</v>
      </c>
      <c r="C476" s="5" t="s">
        <v>1332</v>
      </c>
      <c r="D476" s="5" t="s">
        <v>1333</v>
      </c>
      <c r="E476" s="5" t="s">
        <v>1326</v>
      </c>
      <c r="F476" s="5" t="s">
        <v>1327</v>
      </c>
      <c r="G476" s="5" t="s">
        <v>2618</v>
      </c>
      <c r="H476" s="5" t="n">
        <v>2134.54</v>
      </c>
    </row>
    <row r="477" customFormat="false" ht="15" hidden="false" customHeight="false" outlineLevel="0" collapsed="false">
      <c r="A477" s="5" t="s">
        <v>2670</v>
      </c>
      <c r="B477" s="5" t="s">
        <v>2671</v>
      </c>
      <c r="C477" s="5" t="s">
        <v>1324</v>
      </c>
      <c r="D477" s="5" t="s">
        <v>1325</v>
      </c>
      <c r="E477" s="5" t="s">
        <v>1326</v>
      </c>
      <c r="F477" s="5" t="s">
        <v>1327</v>
      </c>
      <c r="G477" s="5" t="s">
        <v>2618</v>
      </c>
      <c r="H477" s="5" t="s">
        <v>2672</v>
      </c>
    </row>
    <row r="478" customFormat="false" ht="15" hidden="false" customHeight="false" outlineLevel="0" collapsed="false">
      <c r="A478" s="37" t="n">
        <v>45942</v>
      </c>
      <c r="B478" s="5" t="s">
        <v>2673</v>
      </c>
      <c r="C478" s="5" t="s">
        <v>1386</v>
      </c>
      <c r="D478" s="5" t="s">
        <v>1387</v>
      </c>
      <c r="E478" s="5" t="s">
        <v>1326</v>
      </c>
      <c r="F478" s="5" t="s">
        <v>1327</v>
      </c>
      <c r="G478" s="5" t="s">
        <v>2618</v>
      </c>
      <c r="H478" s="5" t="s">
        <v>2674</v>
      </c>
    </row>
    <row r="479" customFormat="false" ht="15" hidden="false" customHeight="false" outlineLevel="0" collapsed="false">
      <c r="A479" s="5" t="s">
        <v>2675</v>
      </c>
      <c r="B479" s="5" t="s">
        <v>2676</v>
      </c>
      <c r="C479" s="5" t="s">
        <v>1332</v>
      </c>
      <c r="D479" s="5" t="s">
        <v>1367</v>
      </c>
      <c r="E479" s="5" t="s">
        <v>1346</v>
      </c>
      <c r="F479" s="5" t="s">
        <v>1327</v>
      </c>
      <c r="G479" s="5" t="s">
        <v>2618</v>
      </c>
      <c r="H479" s="5" t="s">
        <v>2677</v>
      </c>
    </row>
    <row r="480" customFormat="false" ht="15" hidden="false" customHeight="false" outlineLevel="0" collapsed="false">
      <c r="A480" s="5" t="s">
        <v>2678</v>
      </c>
      <c r="B480" s="5" t="s">
        <v>2679</v>
      </c>
      <c r="C480" s="5" t="s">
        <v>1386</v>
      </c>
      <c r="D480" s="5" t="s">
        <v>1387</v>
      </c>
      <c r="E480" s="5" t="s">
        <v>1496</v>
      </c>
      <c r="F480" s="5" t="s">
        <v>1351</v>
      </c>
      <c r="G480" s="5" t="s">
        <v>2633</v>
      </c>
      <c r="H480" s="5" t="s">
        <v>2680</v>
      </c>
    </row>
    <row r="481" customFormat="false" ht="15" hidden="false" customHeight="false" outlineLevel="0" collapsed="false">
      <c r="A481" s="5" t="s">
        <v>2681</v>
      </c>
      <c r="B481" s="5" t="s">
        <v>2682</v>
      </c>
      <c r="C481" s="5" t="s">
        <v>1356</v>
      </c>
      <c r="D481" s="5" t="s">
        <v>1357</v>
      </c>
      <c r="E481" s="5" t="s">
        <v>1496</v>
      </c>
      <c r="F481" s="5" t="s">
        <v>1351</v>
      </c>
      <c r="G481" s="5" t="s">
        <v>2633</v>
      </c>
      <c r="H481" s="5" t="s">
        <v>2683</v>
      </c>
    </row>
    <row r="482" customFormat="false" ht="15" hidden="false" customHeight="false" outlineLevel="0" collapsed="false">
      <c r="A482" s="5" t="s">
        <v>2684</v>
      </c>
      <c r="B482" s="5" t="s">
        <v>2685</v>
      </c>
      <c r="C482" s="5" t="n">
        <v>4040</v>
      </c>
      <c r="D482" s="5" t="s">
        <v>1379</v>
      </c>
      <c r="E482" s="5" t="s">
        <v>1496</v>
      </c>
      <c r="F482" s="5" t="s">
        <v>1351</v>
      </c>
      <c r="G482" s="5" t="s">
        <v>2633</v>
      </c>
      <c r="H482" s="5" t="n">
        <v>2692.39</v>
      </c>
    </row>
    <row r="483" customFormat="false" ht="15" hidden="false" customHeight="false" outlineLevel="0" collapsed="false">
      <c r="A483" s="37" t="n">
        <v>45945</v>
      </c>
      <c r="B483" s="5" t="s">
        <v>2686</v>
      </c>
      <c r="C483" s="5" t="s">
        <v>1453</v>
      </c>
      <c r="D483" s="5" t="s">
        <v>1360</v>
      </c>
      <c r="E483" s="5" t="s">
        <v>1450</v>
      </c>
      <c r="F483" s="5" t="s">
        <v>1401</v>
      </c>
      <c r="G483" s="5" t="s">
        <v>2650</v>
      </c>
      <c r="H483" s="5" t="s">
        <v>2687</v>
      </c>
    </row>
    <row r="484" customFormat="false" ht="15" hidden="false" customHeight="false" outlineLevel="0" collapsed="false">
      <c r="A484" s="5" t="s">
        <v>2688</v>
      </c>
      <c r="B484" s="5" t="s">
        <v>2689</v>
      </c>
      <c r="C484" s="5" t="s">
        <v>1453</v>
      </c>
      <c r="D484" s="5" t="s">
        <v>1360</v>
      </c>
      <c r="E484" s="5" t="s">
        <v>1350</v>
      </c>
      <c r="F484" s="5" t="s">
        <v>1351</v>
      </c>
      <c r="G484" s="5" t="s">
        <v>2633</v>
      </c>
      <c r="H484" s="5" t="s">
        <v>2690</v>
      </c>
    </row>
    <row r="485" customFormat="false" ht="15" hidden="false" customHeight="false" outlineLevel="0" collapsed="false">
      <c r="A485" s="5" t="s">
        <v>2691</v>
      </c>
      <c r="B485" s="5" t="s">
        <v>2692</v>
      </c>
      <c r="C485" s="5" t="s">
        <v>1383</v>
      </c>
      <c r="D485" s="5" t="s">
        <v>1384</v>
      </c>
      <c r="E485" s="5" t="s">
        <v>1363</v>
      </c>
      <c r="F485" s="5" t="s">
        <v>1341</v>
      </c>
      <c r="G485" s="5" t="s">
        <v>2626</v>
      </c>
      <c r="H485" s="5" t="s">
        <v>2693</v>
      </c>
    </row>
    <row r="486" customFormat="false" ht="15" hidden="false" customHeight="false" outlineLevel="0" collapsed="false">
      <c r="A486" s="5" t="s">
        <v>2694</v>
      </c>
      <c r="B486" s="5" t="s">
        <v>2695</v>
      </c>
      <c r="C486" s="5" t="s">
        <v>1453</v>
      </c>
      <c r="D486" s="5" t="s">
        <v>1360</v>
      </c>
      <c r="E486" s="5" t="s">
        <v>1373</v>
      </c>
      <c r="F486" s="5" t="s">
        <v>1374</v>
      </c>
      <c r="G486" s="5" t="s">
        <v>2639</v>
      </c>
      <c r="H486" s="5" t="s">
        <v>2696</v>
      </c>
    </row>
    <row r="487" customFormat="false" ht="15" hidden="false" customHeight="false" outlineLevel="0" collapsed="false">
      <c r="A487" s="5" t="s">
        <v>2697</v>
      </c>
      <c r="B487" s="5" t="s">
        <v>2698</v>
      </c>
      <c r="C487" s="5" t="s">
        <v>1453</v>
      </c>
      <c r="D487" s="5" t="s">
        <v>1360</v>
      </c>
      <c r="E487" s="5" t="s">
        <v>1438</v>
      </c>
      <c r="F487" s="5" t="s">
        <v>1389</v>
      </c>
      <c r="G487" s="5" t="s">
        <v>2643</v>
      </c>
      <c r="H487" s="5" t="s">
        <v>2699</v>
      </c>
    </row>
    <row r="488" customFormat="false" ht="15" hidden="false" customHeight="false" outlineLevel="0" collapsed="false">
      <c r="A488" s="37" t="n">
        <v>45947</v>
      </c>
      <c r="B488" s="5" t="s">
        <v>2700</v>
      </c>
      <c r="C488" s="5" t="s">
        <v>1371</v>
      </c>
      <c r="D488" s="5" t="s">
        <v>1492</v>
      </c>
      <c r="E488" s="5" t="s">
        <v>1334</v>
      </c>
      <c r="F488" s="5" t="s">
        <v>1374</v>
      </c>
      <c r="G488" s="5" t="s">
        <v>2639</v>
      </c>
      <c r="H488" s="5" t="n">
        <v>5507.68</v>
      </c>
    </row>
    <row r="489" customFormat="false" ht="15" hidden="false" customHeight="false" outlineLevel="0" collapsed="false">
      <c r="A489" s="5" t="s">
        <v>2701</v>
      </c>
      <c r="B489" s="5" t="s">
        <v>2702</v>
      </c>
      <c r="C489" s="5" t="n">
        <v>456</v>
      </c>
      <c r="D489" s="5" t="s">
        <v>1333</v>
      </c>
      <c r="E489" s="5" t="s">
        <v>1408</v>
      </c>
      <c r="F489" s="5" t="s">
        <v>1409</v>
      </c>
      <c r="G489" s="5" t="s">
        <v>2703</v>
      </c>
      <c r="H489" s="5" t="s">
        <v>2704</v>
      </c>
    </row>
    <row r="490" customFormat="false" ht="15" hidden="false" customHeight="false" outlineLevel="0" collapsed="false">
      <c r="A490" s="5" t="s">
        <v>2705</v>
      </c>
      <c r="B490" s="5" t="s">
        <v>2706</v>
      </c>
      <c r="C490" s="5" t="s">
        <v>1386</v>
      </c>
      <c r="D490" s="5" t="s">
        <v>1387</v>
      </c>
      <c r="E490" s="5" t="s">
        <v>1334</v>
      </c>
      <c r="F490" s="5" t="s">
        <v>1335</v>
      </c>
      <c r="G490" s="5" t="s">
        <v>2646</v>
      </c>
      <c r="H490" s="5" t="s">
        <v>2707</v>
      </c>
    </row>
    <row r="491" customFormat="false" ht="15" hidden="false" customHeight="false" outlineLevel="0" collapsed="false">
      <c r="A491" s="5" t="s">
        <v>2708</v>
      </c>
      <c r="B491" s="5" t="s">
        <v>2709</v>
      </c>
      <c r="C491" s="5" t="s">
        <v>1356</v>
      </c>
      <c r="D491" s="5" t="s">
        <v>1357</v>
      </c>
      <c r="E491" s="5" t="s">
        <v>1450</v>
      </c>
      <c r="F491" s="5" t="s">
        <v>1401</v>
      </c>
      <c r="G491" s="5" t="s">
        <v>2650</v>
      </c>
      <c r="H491" s="5" t="s">
        <v>2710</v>
      </c>
    </row>
    <row r="492" customFormat="false" ht="15" hidden="false" customHeight="false" outlineLevel="0" collapsed="false">
      <c r="A492" s="5" t="s">
        <v>2711</v>
      </c>
      <c r="B492" s="5" t="s">
        <v>2712</v>
      </c>
      <c r="C492" s="5" t="s">
        <v>1406</v>
      </c>
      <c r="D492" s="5" t="s">
        <v>1407</v>
      </c>
      <c r="E492" s="5" t="s">
        <v>1468</v>
      </c>
      <c r="F492" s="5" t="s">
        <v>1335</v>
      </c>
      <c r="G492" s="5" t="s">
        <v>2646</v>
      </c>
      <c r="H492" s="5" t="s">
        <v>2713</v>
      </c>
    </row>
    <row r="493" customFormat="false" ht="15" hidden="false" customHeight="false" outlineLevel="0" collapsed="false">
      <c r="A493" s="37" t="n">
        <v>45950</v>
      </c>
      <c r="B493" s="5" t="s">
        <v>2714</v>
      </c>
      <c r="C493" s="5" t="s">
        <v>1332</v>
      </c>
      <c r="D493" s="5" t="s">
        <v>1685</v>
      </c>
      <c r="E493" s="5" t="s">
        <v>1363</v>
      </c>
      <c r="F493" s="5" t="s">
        <v>1341</v>
      </c>
      <c r="G493" s="5" t="s">
        <v>2626</v>
      </c>
      <c r="H493" s="5" t="s">
        <v>2715</v>
      </c>
    </row>
    <row r="494" customFormat="false" ht="15" hidden="false" customHeight="false" outlineLevel="0" collapsed="false">
      <c r="A494" s="5" t="s">
        <v>2716</v>
      </c>
      <c r="B494" s="5" t="s">
        <v>2717</v>
      </c>
      <c r="C494" s="5" t="s">
        <v>1339</v>
      </c>
      <c r="D494" s="5" t="s">
        <v>1340</v>
      </c>
      <c r="E494" s="5" t="s">
        <v>1350</v>
      </c>
      <c r="F494" s="5" t="s">
        <v>1351</v>
      </c>
      <c r="G494" s="5" t="s">
        <v>2633</v>
      </c>
      <c r="H494" s="5" t="n">
        <v>-478.42</v>
      </c>
    </row>
    <row r="495" customFormat="false" ht="15" hidden="false" customHeight="false" outlineLevel="0" collapsed="false">
      <c r="A495" s="5" t="s">
        <v>2718</v>
      </c>
      <c r="B495" s="5" t="s">
        <v>2719</v>
      </c>
      <c r="C495" s="5" t="s">
        <v>1453</v>
      </c>
      <c r="D495" s="5" t="s">
        <v>1360</v>
      </c>
      <c r="E495" s="5" t="s">
        <v>1334</v>
      </c>
      <c r="F495" s="5" t="s">
        <v>1335</v>
      </c>
      <c r="G495" s="5" t="s">
        <v>2646</v>
      </c>
      <c r="H495" s="5" t="s">
        <v>2720</v>
      </c>
    </row>
    <row r="496" customFormat="false" ht="15" hidden="false" customHeight="false" outlineLevel="0" collapsed="false">
      <c r="A496" s="5" t="s">
        <v>2721</v>
      </c>
      <c r="B496" s="5" t="s">
        <v>2722</v>
      </c>
      <c r="C496" s="5" t="n">
        <v>1011</v>
      </c>
      <c r="D496" s="5" t="s">
        <v>1325</v>
      </c>
      <c r="E496" s="5" t="s">
        <v>1427</v>
      </c>
      <c r="F496" s="5" t="s">
        <v>1431</v>
      </c>
      <c r="G496" s="5" t="s">
        <v>2629</v>
      </c>
      <c r="H496" s="5" t="s">
        <v>2723</v>
      </c>
    </row>
    <row r="497" customFormat="false" ht="15" hidden="false" customHeight="false" outlineLevel="0" collapsed="false">
      <c r="A497" s="5" t="s">
        <v>2724</v>
      </c>
      <c r="B497" s="5" t="s">
        <v>2725</v>
      </c>
      <c r="C497" s="5" t="s">
        <v>1453</v>
      </c>
      <c r="D497" s="5" t="s">
        <v>1601</v>
      </c>
      <c r="E497" s="5" t="s">
        <v>1408</v>
      </c>
      <c r="F497" s="5" t="s">
        <v>1409</v>
      </c>
      <c r="G497" s="5" t="s">
        <v>2703</v>
      </c>
      <c r="H497" s="5" t="s">
        <v>2726</v>
      </c>
    </row>
    <row r="498" customFormat="false" ht="15" hidden="false" customHeight="false" outlineLevel="0" collapsed="false">
      <c r="A498" s="37" t="n">
        <v>45953</v>
      </c>
      <c r="B498" s="5" t="s">
        <v>2727</v>
      </c>
      <c r="C498" s="5" t="s">
        <v>1383</v>
      </c>
      <c r="D498" s="5" t="s">
        <v>1384</v>
      </c>
      <c r="E498" s="5" t="s">
        <v>1427</v>
      </c>
      <c r="F498" s="5" t="s">
        <v>1320</v>
      </c>
      <c r="G498" s="5" t="s">
        <v>2622</v>
      </c>
      <c r="H498" s="5" t="s">
        <v>2728</v>
      </c>
    </row>
    <row r="499" customFormat="false" ht="15" hidden="false" customHeight="false" outlineLevel="0" collapsed="false">
      <c r="A499" s="5" t="s">
        <v>2729</v>
      </c>
      <c r="B499" s="5" t="s">
        <v>2730</v>
      </c>
      <c r="C499" s="5" t="s">
        <v>1371</v>
      </c>
      <c r="D499" s="5" t="s">
        <v>1372</v>
      </c>
      <c r="E499" s="5" t="s">
        <v>1416</v>
      </c>
      <c r="F499" s="5" t="s">
        <v>1374</v>
      </c>
      <c r="G499" s="5" t="s">
        <v>2639</v>
      </c>
      <c r="H499" s="5" t="s">
        <v>2731</v>
      </c>
    </row>
    <row r="500" customFormat="false" ht="15" hidden="false" customHeight="false" outlineLevel="0" collapsed="false">
      <c r="A500" s="5" t="s">
        <v>1309</v>
      </c>
      <c r="B500" s="5" t="s">
        <v>1310</v>
      </c>
      <c r="C500" s="5" t="s">
        <v>1311</v>
      </c>
      <c r="D500" s="5" t="s">
        <v>1312</v>
      </c>
      <c r="E500" s="5" t="s">
        <v>1313</v>
      </c>
      <c r="F500" s="5" t="s">
        <v>1314</v>
      </c>
      <c r="G500" s="5" t="s">
        <v>1315</v>
      </c>
      <c r="H500" s="5" t="s">
        <v>90</v>
      </c>
    </row>
    <row r="501" customFormat="false" ht="15" hidden="false" customHeight="false" outlineLevel="0" collapsed="false">
      <c r="A501" s="5" t="s">
        <v>2732</v>
      </c>
      <c r="B501" s="5" t="s">
        <v>2733</v>
      </c>
      <c r="C501" s="5" t="s">
        <v>1324</v>
      </c>
      <c r="D501" s="5" t="s">
        <v>1325</v>
      </c>
      <c r="E501" s="5" t="s">
        <v>1496</v>
      </c>
      <c r="F501" s="5" t="s">
        <v>1351</v>
      </c>
      <c r="G501" s="5" t="s">
        <v>2633</v>
      </c>
      <c r="H501" s="5" t="n">
        <v>3643.06</v>
      </c>
    </row>
    <row r="502" customFormat="false" ht="15" hidden="false" customHeight="false" outlineLevel="0" collapsed="false">
      <c r="A502" s="5" t="s">
        <v>2734</v>
      </c>
      <c r="B502" s="5" t="s">
        <v>2735</v>
      </c>
      <c r="C502" s="5" t="s">
        <v>1356</v>
      </c>
      <c r="D502" s="5" t="s">
        <v>1357</v>
      </c>
      <c r="E502" s="5" t="s">
        <v>1350</v>
      </c>
      <c r="F502" s="5" t="s">
        <v>1351</v>
      </c>
      <c r="G502" s="5" t="s">
        <v>2633</v>
      </c>
      <c r="H502" s="5" t="s">
        <v>2736</v>
      </c>
    </row>
    <row r="503" customFormat="false" ht="15" hidden="false" customHeight="false" outlineLevel="0" collapsed="false">
      <c r="A503" s="5" t="s">
        <v>2737</v>
      </c>
      <c r="B503" s="5" t="s">
        <v>2738</v>
      </c>
      <c r="C503" s="5" t="s">
        <v>1324</v>
      </c>
      <c r="D503" s="5" t="s">
        <v>1325</v>
      </c>
      <c r="E503" s="5" t="s">
        <v>1496</v>
      </c>
      <c r="F503" s="5" t="s">
        <v>1409</v>
      </c>
      <c r="G503" s="5" t="s">
        <v>2703</v>
      </c>
      <c r="H503" s="5" t="s">
        <v>2739</v>
      </c>
    </row>
    <row r="504" customFormat="false" ht="15" hidden="false" customHeight="false" outlineLevel="0" collapsed="false">
      <c r="A504" s="37" t="n">
        <v>45955</v>
      </c>
      <c r="B504" s="5" t="s">
        <v>2740</v>
      </c>
      <c r="C504" s="5" t="n">
        <v>5555</v>
      </c>
      <c r="D504" s="5" t="s">
        <v>1384</v>
      </c>
      <c r="E504" s="5" t="s">
        <v>1326</v>
      </c>
      <c r="F504" s="5" t="s">
        <v>1341</v>
      </c>
      <c r="G504" s="5" t="s">
        <v>2626</v>
      </c>
      <c r="H504" s="5" t="s">
        <v>2741</v>
      </c>
    </row>
    <row r="505" customFormat="false" ht="15" hidden="false" customHeight="false" outlineLevel="0" collapsed="false">
      <c r="A505" s="5" t="s">
        <v>2742</v>
      </c>
      <c r="B505" s="5" t="s">
        <v>2743</v>
      </c>
      <c r="C505" s="5" t="s">
        <v>1324</v>
      </c>
      <c r="D505" s="5" t="s">
        <v>1458</v>
      </c>
      <c r="E505" s="5" t="s">
        <v>1373</v>
      </c>
      <c r="F505" s="5" t="s">
        <v>1374</v>
      </c>
      <c r="G505" s="5" t="s">
        <v>2639</v>
      </c>
      <c r="H505" s="5" t="s">
        <v>2744</v>
      </c>
    </row>
    <row r="506" customFormat="false" ht="15" hidden="false" customHeight="false" outlineLevel="0" collapsed="false">
      <c r="A506" s="5" t="s">
        <v>2745</v>
      </c>
      <c r="B506" s="5" t="s">
        <v>2746</v>
      </c>
      <c r="C506" s="5" t="s">
        <v>1356</v>
      </c>
      <c r="D506" s="5" t="s">
        <v>1357</v>
      </c>
      <c r="E506" s="5" t="s">
        <v>1438</v>
      </c>
      <c r="F506" s="5" t="s">
        <v>1401</v>
      </c>
      <c r="G506" s="5" t="s">
        <v>2650</v>
      </c>
      <c r="H506" s="5" t="s">
        <v>2747</v>
      </c>
    </row>
    <row r="507" customFormat="false" ht="15" hidden="false" customHeight="false" outlineLevel="0" collapsed="false">
      <c r="A507" s="5" t="s">
        <v>2748</v>
      </c>
      <c r="B507" s="5" t="s">
        <v>2749</v>
      </c>
      <c r="C507" s="5" t="s">
        <v>1324</v>
      </c>
      <c r="D507" s="5" t="s">
        <v>1413</v>
      </c>
      <c r="E507" s="5" t="s">
        <v>1350</v>
      </c>
      <c r="F507" s="5" t="s">
        <v>1409</v>
      </c>
      <c r="G507" s="5" t="s">
        <v>2703</v>
      </c>
      <c r="H507" s="5" t="n">
        <v>1835.29</v>
      </c>
    </row>
    <row r="508" customFormat="false" ht="15" hidden="false" customHeight="false" outlineLevel="0" collapsed="false">
      <c r="A508" s="5" t="s">
        <v>2750</v>
      </c>
      <c r="B508" s="5" t="s">
        <v>2751</v>
      </c>
      <c r="C508" s="5" t="s">
        <v>1386</v>
      </c>
      <c r="D508" s="5" t="s">
        <v>1387</v>
      </c>
      <c r="E508" s="5" t="s">
        <v>1350</v>
      </c>
      <c r="F508" s="5" t="s">
        <v>1409</v>
      </c>
      <c r="G508" s="5" t="s">
        <v>2703</v>
      </c>
      <c r="H508" s="5" t="s">
        <v>2752</v>
      </c>
    </row>
    <row r="509" customFormat="false" ht="15" hidden="false" customHeight="false" outlineLevel="0" collapsed="false">
      <c r="A509" s="37" t="n">
        <v>45957</v>
      </c>
      <c r="B509" s="5" t="s">
        <v>2753</v>
      </c>
      <c r="C509" s="5" t="s">
        <v>1406</v>
      </c>
      <c r="D509" s="5" t="s">
        <v>1407</v>
      </c>
      <c r="E509" s="5" t="s">
        <v>1450</v>
      </c>
      <c r="F509" s="5" t="s">
        <v>1389</v>
      </c>
      <c r="G509" s="5" t="s">
        <v>2643</v>
      </c>
      <c r="H509" s="5" t="s">
        <v>2754</v>
      </c>
    </row>
    <row r="510" customFormat="false" ht="15" hidden="false" customHeight="false" outlineLevel="0" collapsed="false">
      <c r="A510" s="5" t="s">
        <v>2755</v>
      </c>
      <c r="B510" s="5" t="s">
        <v>2756</v>
      </c>
      <c r="C510" s="5" t="s">
        <v>1371</v>
      </c>
      <c r="D510" s="5" t="s">
        <v>1372</v>
      </c>
      <c r="E510" s="5" t="s">
        <v>1363</v>
      </c>
      <c r="F510" s="5" t="s">
        <v>1327</v>
      </c>
      <c r="G510" s="5" t="s">
        <v>2618</v>
      </c>
      <c r="H510" s="5" t="s">
        <v>2757</v>
      </c>
    </row>
    <row r="511" customFormat="false" ht="15" hidden="false" customHeight="false" outlineLevel="0" collapsed="false">
      <c r="A511" s="5" t="s">
        <v>2758</v>
      </c>
      <c r="B511" s="5" t="s">
        <v>2759</v>
      </c>
      <c r="C511" s="5" t="n">
        <v>2020</v>
      </c>
      <c r="D511" s="5" t="s">
        <v>1387</v>
      </c>
      <c r="E511" s="5" t="s">
        <v>1346</v>
      </c>
      <c r="F511" s="5" t="s">
        <v>1341</v>
      </c>
      <c r="G511" s="5" t="s">
        <v>2626</v>
      </c>
      <c r="H511" s="5" t="s">
        <v>2760</v>
      </c>
    </row>
    <row r="512" customFormat="false" ht="15" hidden="false" customHeight="false" outlineLevel="0" collapsed="false">
      <c r="A512" s="5" t="s">
        <v>2761</v>
      </c>
      <c r="B512" s="5" t="s">
        <v>2762</v>
      </c>
      <c r="C512" s="5" t="s">
        <v>1386</v>
      </c>
      <c r="D512" s="5" t="s">
        <v>1387</v>
      </c>
      <c r="E512" s="5" t="s">
        <v>1438</v>
      </c>
      <c r="F512" s="5" t="s">
        <v>1401</v>
      </c>
      <c r="G512" s="5" t="s">
        <v>2650</v>
      </c>
      <c r="H512" s="5" t="s">
        <v>2763</v>
      </c>
    </row>
    <row r="513" customFormat="false" ht="15" hidden="false" customHeight="false" outlineLevel="0" collapsed="false">
      <c r="A513" s="5" t="s">
        <v>2764</v>
      </c>
      <c r="B513" s="5" t="s">
        <v>2765</v>
      </c>
      <c r="C513" s="5" t="s">
        <v>1453</v>
      </c>
      <c r="D513" s="5" t="s">
        <v>1360</v>
      </c>
      <c r="E513" s="5" t="s">
        <v>1408</v>
      </c>
      <c r="F513" s="5" t="s">
        <v>1409</v>
      </c>
      <c r="G513" s="5" t="s">
        <v>2766</v>
      </c>
      <c r="H513" s="5" t="n">
        <v>5935.76</v>
      </c>
    </row>
    <row r="514" customFormat="false" ht="15" hidden="false" customHeight="false" outlineLevel="0" collapsed="false">
      <c r="A514" s="37" t="n">
        <v>45964</v>
      </c>
      <c r="B514" s="5" t="s">
        <v>2767</v>
      </c>
      <c r="C514" s="5" t="s">
        <v>1332</v>
      </c>
      <c r="D514" s="5" t="s">
        <v>1333</v>
      </c>
      <c r="E514" s="5" t="s">
        <v>1408</v>
      </c>
      <c r="F514" s="5" t="s">
        <v>1409</v>
      </c>
      <c r="G514" s="5" t="s">
        <v>2766</v>
      </c>
      <c r="H514" s="5" t="s">
        <v>2768</v>
      </c>
    </row>
    <row r="515" customFormat="false" ht="15" hidden="false" customHeight="false" outlineLevel="0" collapsed="false">
      <c r="A515" s="5" t="s">
        <v>2769</v>
      </c>
      <c r="B515" s="5" t="s">
        <v>2770</v>
      </c>
      <c r="C515" s="5" t="s">
        <v>1339</v>
      </c>
      <c r="D515" s="5" t="s">
        <v>1340</v>
      </c>
      <c r="E515" s="5" t="s">
        <v>1363</v>
      </c>
      <c r="F515" s="5" t="s">
        <v>1341</v>
      </c>
      <c r="G515" s="5" t="s">
        <v>2771</v>
      </c>
      <c r="H515" s="5" t="s">
        <v>2772</v>
      </c>
    </row>
    <row r="516" customFormat="false" ht="15" hidden="false" customHeight="false" outlineLevel="0" collapsed="false">
      <c r="A516" s="5" t="s">
        <v>2773</v>
      </c>
      <c r="B516" s="5" t="s">
        <v>2774</v>
      </c>
      <c r="C516" s="5" t="s">
        <v>1324</v>
      </c>
      <c r="D516" s="5" t="s">
        <v>2775</v>
      </c>
      <c r="E516" s="5" t="s">
        <v>1408</v>
      </c>
      <c r="F516" s="5" t="s">
        <v>1409</v>
      </c>
      <c r="G516" s="5" t="s">
        <v>2766</v>
      </c>
      <c r="H516" s="5" t="s">
        <v>2776</v>
      </c>
    </row>
    <row r="517" customFormat="false" ht="15" hidden="false" customHeight="false" outlineLevel="0" collapsed="false">
      <c r="A517" s="5" t="s">
        <v>2777</v>
      </c>
      <c r="B517" s="5" t="s">
        <v>2778</v>
      </c>
      <c r="C517" s="5" t="s">
        <v>1332</v>
      </c>
      <c r="D517" s="5" t="s">
        <v>1333</v>
      </c>
      <c r="E517" s="5" t="s">
        <v>1408</v>
      </c>
      <c r="F517" s="5" t="s">
        <v>1351</v>
      </c>
      <c r="G517" s="5" t="s">
        <v>2779</v>
      </c>
      <c r="H517" s="5" t="s">
        <v>2780</v>
      </c>
    </row>
    <row r="518" customFormat="false" ht="15" hidden="false" customHeight="false" outlineLevel="0" collapsed="false">
      <c r="A518" s="5" t="s">
        <v>2781</v>
      </c>
      <c r="B518" s="5" t="s">
        <v>2782</v>
      </c>
      <c r="C518" s="5" t="n">
        <v>2020</v>
      </c>
      <c r="D518" s="5" t="s">
        <v>1387</v>
      </c>
      <c r="E518" s="5" t="s">
        <v>1408</v>
      </c>
      <c r="F518" s="5" t="s">
        <v>1351</v>
      </c>
      <c r="G518" s="5" t="s">
        <v>2779</v>
      </c>
      <c r="H518" s="5" t="s">
        <v>2783</v>
      </c>
    </row>
    <row r="519" customFormat="false" ht="15" hidden="false" customHeight="false" outlineLevel="0" collapsed="false">
      <c r="A519" s="37" t="n">
        <v>45967</v>
      </c>
      <c r="B519" s="5" t="s">
        <v>2784</v>
      </c>
      <c r="C519" s="5" t="s">
        <v>1324</v>
      </c>
      <c r="D519" s="5" t="s">
        <v>1325</v>
      </c>
      <c r="E519" s="5" t="s">
        <v>1496</v>
      </c>
      <c r="F519" s="5" t="s">
        <v>1351</v>
      </c>
      <c r="G519" s="5" t="s">
        <v>2779</v>
      </c>
      <c r="H519" s="5" t="n">
        <v>4500.47</v>
      </c>
    </row>
    <row r="520" customFormat="false" ht="15" hidden="false" customHeight="false" outlineLevel="0" collapsed="false">
      <c r="A520" s="5" t="s">
        <v>2785</v>
      </c>
      <c r="B520" s="5" t="s">
        <v>2786</v>
      </c>
      <c r="C520" s="5" t="s">
        <v>1386</v>
      </c>
      <c r="D520" s="5" t="s">
        <v>1387</v>
      </c>
      <c r="E520" s="5" t="s">
        <v>1350</v>
      </c>
      <c r="F520" s="5" t="s">
        <v>1409</v>
      </c>
      <c r="G520" s="5" t="s">
        <v>2766</v>
      </c>
      <c r="H520" s="5" t="s">
        <v>2787</v>
      </c>
    </row>
    <row r="521" customFormat="false" ht="15" hidden="false" customHeight="false" outlineLevel="0" collapsed="false">
      <c r="A521" s="5" t="s">
        <v>2788</v>
      </c>
      <c r="B521" s="5" t="s">
        <v>2789</v>
      </c>
      <c r="C521" s="5" t="s">
        <v>1383</v>
      </c>
      <c r="D521" s="5" t="s">
        <v>1384</v>
      </c>
      <c r="E521" s="5" t="s">
        <v>1350</v>
      </c>
      <c r="F521" s="5" t="s">
        <v>1409</v>
      </c>
      <c r="G521" s="5" t="s">
        <v>2766</v>
      </c>
      <c r="H521" s="5" t="s">
        <v>2790</v>
      </c>
    </row>
    <row r="522" customFormat="false" ht="15" hidden="false" customHeight="false" outlineLevel="0" collapsed="false">
      <c r="A522" s="5" t="s">
        <v>2791</v>
      </c>
      <c r="B522" s="5" t="s">
        <v>2792</v>
      </c>
      <c r="C522" s="5" t="s">
        <v>1406</v>
      </c>
      <c r="D522" s="5" t="s">
        <v>1407</v>
      </c>
      <c r="E522" s="5" t="s">
        <v>1326</v>
      </c>
      <c r="F522" s="5" t="s">
        <v>1341</v>
      </c>
      <c r="G522" s="5" t="s">
        <v>2771</v>
      </c>
      <c r="H522" s="5" t="s">
        <v>2793</v>
      </c>
    </row>
    <row r="523" customFormat="false" ht="15" hidden="false" customHeight="false" outlineLevel="0" collapsed="false">
      <c r="A523" s="5" t="s">
        <v>2794</v>
      </c>
      <c r="B523" s="5" t="s">
        <v>2795</v>
      </c>
      <c r="C523" s="5" t="s">
        <v>1339</v>
      </c>
      <c r="D523" s="5" t="s">
        <v>1340</v>
      </c>
      <c r="E523" s="5" t="s">
        <v>1346</v>
      </c>
      <c r="F523" s="5" t="s">
        <v>1341</v>
      </c>
      <c r="G523" s="5" t="s">
        <v>2771</v>
      </c>
      <c r="H523" s="5" t="s">
        <v>2796</v>
      </c>
    </row>
    <row r="524" customFormat="false" ht="15" hidden="false" customHeight="false" outlineLevel="0" collapsed="false">
      <c r="A524" s="37" t="n">
        <v>45970</v>
      </c>
      <c r="B524" s="5" t="s">
        <v>2797</v>
      </c>
      <c r="C524" s="5" t="s">
        <v>1386</v>
      </c>
      <c r="D524" s="5" t="s">
        <v>1387</v>
      </c>
      <c r="E524" s="5" t="s">
        <v>1427</v>
      </c>
      <c r="F524" s="5" t="s">
        <v>1431</v>
      </c>
      <c r="G524" s="5" t="s">
        <v>2798</v>
      </c>
      <c r="H524" s="5" t="s">
        <v>2799</v>
      </c>
    </row>
    <row r="525" customFormat="false" ht="15" hidden="false" customHeight="false" outlineLevel="0" collapsed="false">
      <c r="A525" s="5" t="s">
        <v>2800</v>
      </c>
      <c r="B525" s="5" t="s">
        <v>2801</v>
      </c>
      <c r="C525" s="5" t="n">
        <v>123</v>
      </c>
      <c r="D525" s="5" t="s">
        <v>1601</v>
      </c>
      <c r="E525" s="5" t="s">
        <v>1373</v>
      </c>
      <c r="F525" s="5" t="s">
        <v>1335</v>
      </c>
      <c r="G525" s="5" t="s">
        <v>2802</v>
      </c>
      <c r="H525" s="5" t="n">
        <v>5402.1</v>
      </c>
    </row>
    <row r="526" customFormat="false" ht="15" hidden="false" customHeight="false" outlineLevel="0" collapsed="false">
      <c r="A526" s="5" t="s">
        <v>2803</v>
      </c>
      <c r="B526" s="5" t="s">
        <v>2804</v>
      </c>
      <c r="C526" s="5" t="s">
        <v>1324</v>
      </c>
      <c r="D526" s="5" t="s">
        <v>1325</v>
      </c>
      <c r="E526" s="5" t="s">
        <v>1450</v>
      </c>
      <c r="F526" s="5" t="s">
        <v>1401</v>
      </c>
      <c r="G526" s="5" t="s">
        <v>2805</v>
      </c>
      <c r="H526" s="5" t="s">
        <v>2806</v>
      </c>
    </row>
    <row r="527" customFormat="false" ht="15" hidden="false" customHeight="false" outlineLevel="0" collapsed="false">
      <c r="A527" s="5" t="s">
        <v>2807</v>
      </c>
      <c r="B527" s="5" t="s">
        <v>2808</v>
      </c>
      <c r="C527" s="5" t="s">
        <v>1406</v>
      </c>
      <c r="D527" s="5" t="s">
        <v>1717</v>
      </c>
      <c r="E527" s="5" t="s">
        <v>1416</v>
      </c>
      <c r="F527" s="5" t="s">
        <v>1335</v>
      </c>
      <c r="G527" s="5" t="s">
        <v>2802</v>
      </c>
      <c r="H527" s="5" t="s">
        <v>2809</v>
      </c>
    </row>
    <row r="528" customFormat="false" ht="15" hidden="false" customHeight="false" outlineLevel="0" collapsed="false">
      <c r="A528" s="5" t="s">
        <v>2810</v>
      </c>
      <c r="B528" s="5" t="s">
        <v>2811</v>
      </c>
      <c r="C528" s="5" t="s">
        <v>1453</v>
      </c>
      <c r="D528" s="5" t="s">
        <v>1360</v>
      </c>
      <c r="E528" s="5" t="s">
        <v>1408</v>
      </c>
      <c r="F528" s="5" t="s">
        <v>1409</v>
      </c>
      <c r="G528" s="5" t="s">
        <v>2766</v>
      </c>
      <c r="H528" s="5" t="s">
        <v>2812</v>
      </c>
    </row>
    <row r="529" customFormat="false" ht="15" hidden="false" customHeight="false" outlineLevel="0" collapsed="false">
      <c r="A529" s="37" t="n">
        <v>45973</v>
      </c>
      <c r="B529" s="5" t="s">
        <v>2813</v>
      </c>
      <c r="C529" s="5" t="s">
        <v>1332</v>
      </c>
      <c r="D529" s="5" t="s">
        <v>1333</v>
      </c>
      <c r="E529" s="5" t="s">
        <v>1346</v>
      </c>
      <c r="F529" s="5" t="s">
        <v>1327</v>
      </c>
      <c r="G529" s="5" t="s">
        <v>2814</v>
      </c>
      <c r="H529" s="5" t="s">
        <v>2815</v>
      </c>
    </row>
    <row r="530" customFormat="false" ht="15" hidden="false" customHeight="false" outlineLevel="0" collapsed="false">
      <c r="A530" s="5" t="s">
        <v>2816</v>
      </c>
      <c r="B530" s="5" t="s">
        <v>2817</v>
      </c>
      <c r="C530" s="5" t="s">
        <v>1406</v>
      </c>
      <c r="D530" s="5" t="s">
        <v>1407</v>
      </c>
      <c r="E530" s="5" t="s">
        <v>1373</v>
      </c>
      <c r="F530" s="5" t="s">
        <v>1374</v>
      </c>
      <c r="G530" s="5" t="s">
        <v>2818</v>
      </c>
      <c r="H530" s="5" t="s">
        <v>2819</v>
      </c>
    </row>
    <row r="531" customFormat="false" ht="15" hidden="false" customHeight="false" outlineLevel="0" collapsed="false">
      <c r="A531" s="5" t="s">
        <v>2820</v>
      </c>
      <c r="B531" s="5" t="s">
        <v>2817</v>
      </c>
      <c r="C531" s="5" t="s">
        <v>1406</v>
      </c>
      <c r="D531" s="5" t="s">
        <v>1407</v>
      </c>
      <c r="E531" s="5" t="s">
        <v>1373</v>
      </c>
      <c r="F531" s="5" t="s">
        <v>1374</v>
      </c>
      <c r="G531" s="5" t="s">
        <v>2818</v>
      </c>
      <c r="H531" s="5" t="n">
        <v>8663.52</v>
      </c>
    </row>
    <row r="532" customFormat="false" ht="15" hidden="false" customHeight="false" outlineLevel="0" collapsed="false">
      <c r="A532" s="5" t="s">
        <v>2821</v>
      </c>
      <c r="B532" s="5" t="s">
        <v>2822</v>
      </c>
      <c r="C532" s="5" t="n">
        <v>456</v>
      </c>
      <c r="D532" s="5" t="s">
        <v>1333</v>
      </c>
      <c r="E532" s="5" t="s">
        <v>1319</v>
      </c>
      <c r="F532" s="5" t="s">
        <v>1431</v>
      </c>
      <c r="G532" s="5" t="s">
        <v>2798</v>
      </c>
      <c r="H532" s="5" t="s">
        <v>2823</v>
      </c>
    </row>
    <row r="533" customFormat="false" ht="15" hidden="false" customHeight="false" outlineLevel="0" collapsed="false">
      <c r="A533" s="5" t="s">
        <v>2824</v>
      </c>
      <c r="B533" s="5" t="s">
        <v>2825</v>
      </c>
      <c r="C533" s="5" t="s">
        <v>1356</v>
      </c>
      <c r="D533" s="5" t="s">
        <v>1357</v>
      </c>
      <c r="E533" s="5" t="s">
        <v>1350</v>
      </c>
      <c r="F533" s="5" t="s">
        <v>1351</v>
      </c>
      <c r="G533" s="5" t="s">
        <v>2779</v>
      </c>
      <c r="H533" s="5" t="s">
        <v>2826</v>
      </c>
    </row>
    <row r="534" customFormat="false" ht="15" hidden="false" customHeight="false" outlineLevel="0" collapsed="false">
      <c r="A534" s="37" t="n">
        <v>45975</v>
      </c>
      <c r="B534" s="5" t="s">
        <v>2827</v>
      </c>
      <c r="C534" s="5" t="s">
        <v>1356</v>
      </c>
      <c r="D534" s="5" t="s">
        <v>1756</v>
      </c>
      <c r="E534" s="5" t="s">
        <v>1334</v>
      </c>
      <c r="F534" s="5" t="s">
        <v>1374</v>
      </c>
      <c r="G534" s="5" t="s">
        <v>2818</v>
      </c>
      <c r="H534" s="5" t="s">
        <v>2828</v>
      </c>
    </row>
    <row r="535" customFormat="false" ht="15" hidden="false" customHeight="false" outlineLevel="0" collapsed="false">
      <c r="A535" s="5" t="s">
        <v>2829</v>
      </c>
      <c r="B535" s="5" t="s">
        <v>2830</v>
      </c>
      <c r="C535" s="5" t="s">
        <v>1332</v>
      </c>
      <c r="D535" s="5" t="s">
        <v>1333</v>
      </c>
      <c r="E535" s="5" t="s">
        <v>1350</v>
      </c>
      <c r="F535" s="5" t="s">
        <v>1351</v>
      </c>
      <c r="G535" s="5" t="s">
        <v>2779</v>
      </c>
      <c r="H535" s="5" t="s">
        <v>2831</v>
      </c>
    </row>
    <row r="536" customFormat="false" ht="15" hidden="false" customHeight="false" outlineLevel="0" collapsed="false">
      <c r="A536" s="5" t="s">
        <v>2832</v>
      </c>
      <c r="B536" s="5" t="s">
        <v>2833</v>
      </c>
      <c r="C536" s="5" t="s">
        <v>1383</v>
      </c>
      <c r="D536" s="5" t="s">
        <v>1384</v>
      </c>
      <c r="E536" s="5" t="s">
        <v>1400</v>
      </c>
      <c r="F536" s="5" t="s">
        <v>1401</v>
      </c>
      <c r="G536" s="5" t="s">
        <v>2805</v>
      </c>
      <c r="H536" s="5" t="s">
        <v>2834</v>
      </c>
    </row>
    <row r="537" customFormat="false" ht="15" hidden="false" customHeight="false" outlineLevel="0" collapsed="false">
      <c r="A537" s="5" t="s">
        <v>2835</v>
      </c>
      <c r="B537" s="5" t="s">
        <v>2836</v>
      </c>
      <c r="C537" s="5" t="s">
        <v>1371</v>
      </c>
      <c r="D537" s="5" t="s">
        <v>1372</v>
      </c>
      <c r="E537" s="5" t="s">
        <v>1350</v>
      </c>
      <c r="F537" s="5" t="s">
        <v>1351</v>
      </c>
      <c r="G537" s="5" t="s">
        <v>2779</v>
      </c>
      <c r="H537" s="5" t="n">
        <v>1206</v>
      </c>
    </row>
    <row r="538" customFormat="false" ht="15" hidden="false" customHeight="false" outlineLevel="0" collapsed="false">
      <c r="A538" s="5" t="s">
        <v>2837</v>
      </c>
      <c r="B538" s="5" t="s">
        <v>2838</v>
      </c>
      <c r="C538" s="5" t="s">
        <v>1324</v>
      </c>
      <c r="D538" s="5" t="s">
        <v>1458</v>
      </c>
      <c r="E538" s="5" t="s">
        <v>1496</v>
      </c>
      <c r="F538" s="5" t="s">
        <v>1351</v>
      </c>
      <c r="G538" s="5" t="s">
        <v>2779</v>
      </c>
      <c r="H538" s="5" t="s">
        <v>2839</v>
      </c>
    </row>
    <row r="539" customFormat="false" ht="15" hidden="false" customHeight="false" outlineLevel="0" collapsed="false">
      <c r="A539" s="37" t="n">
        <v>45977</v>
      </c>
      <c r="B539" s="5" t="s">
        <v>2840</v>
      </c>
      <c r="C539" s="5" t="n">
        <v>789</v>
      </c>
      <c r="D539" s="5" t="s">
        <v>1407</v>
      </c>
      <c r="E539" s="5" t="s">
        <v>1346</v>
      </c>
      <c r="F539" s="5" t="s">
        <v>1327</v>
      </c>
      <c r="G539" s="5" t="s">
        <v>2814</v>
      </c>
      <c r="H539" s="5" t="s">
        <v>2841</v>
      </c>
    </row>
    <row r="540" customFormat="false" ht="15" hidden="false" customHeight="false" outlineLevel="0" collapsed="false">
      <c r="A540" s="5" t="s">
        <v>2842</v>
      </c>
      <c r="B540" s="5" t="s">
        <v>2843</v>
      </c>
      <c r="C540" s="5" t="s">
        <v>1371</v>
      </c>
      <c r="D540" s="5" t="s">
        <v>1372</v>
      </c>
      <c r="E540" s="5" t="s">
        <v>1427</v>
      </c>
      <c r="F540" s="5" t="s">
        <v>1320</v>
      </c>
      <c r="G540" s="5" t="s">
        <v>2844</v>
      </c>
      <c r="H540" s="5" t="s">
        <v>2845</v>
      </c>
    </row>
    <row r="541" customFormat="false" ht="15" hidden="false" customHeight="false" outlineLevel="0" collapsed="false">
      <c r="A541" s="5" t="s">
        <v>2846</v>
      </c>
      <c r="B541" s="5" t="s">
        <v>2847</v>
      </c>
      <c r="C541" s="5" t="s">
        <v>1324</v>
      </c>
      <c r="D541" s="5" t="s">
        <v>1325</v>
      </c>
      <c r="E541" s="5" t="s">
        <v>1400</v>
      </c>
      <c r="F541" s="5" t="s">
        <v>1401</v>
      </c>
      <c r="G541" s="5" t="s">
        <v>2805</v>
      </c>
      <c r="H541" s="5" t="s">
        <v>2848</v>
      </c>
    </row>
    <row r="542" customFormat="false" ht="15" hidden="false" customHeight="false" outlineLevel="0" collapsed="false">
      <c r="A542" s="5" t="s">
        <v>2849</v>
      </c>
      <c r="B542" s="5" t="s">
        <v>2850</v>
      </c>
      <c r="C542" s="5" t="s">
        <v>1371</v>
      </c>
      <c r="D542" s="5" t="s">
        <v>1372</v>
      </c>
      <c r="E542" s="5" t="s">
        <v>1350</v>
      </c>
      <c r="F542" s="5" t="s">
        <v>1409</v>
      </c>
      <c r="G542" s="5" t="s">
        <v>2766</v>
      </c>
      <c r="H542" s="5" t="s">
        <v>2851</v>
      </c>
    </row>
    <row r="543" customFormat="false" ht="15" hidden="false" customHeight="false" outlineLevel="0" collapsed="false">
      <c r="A543" s="5" t="s">
        <v>2852</v>
      </c>
      <c r="B543" s="5" t="s">
        <v>2853</v>
      </c>
      <c r="C543" s="5" t="s">
        <v>1356</v>
      </c>
      <c r="D543" s="5" t="s">
        <v>1756</v>
      </c>
      <c r="E543" s="5" t="s">
        <v>1326</v>
      </c>
      <c r="F543" s="5" t="s">
        <v>1341</v>
      </c>
      <c r="G543" s="5" t="s">
        <v>2771</v>
      </c>
      <c r="H543" s="5" t="n">
        <v>4827.79</v>
      </c>
    </row>
    <row r="544" customFormat="false" ht="15" hidden="false" customHeight="false" outlineLevel="0" collapsed="false">
      <c r="A544" s="37" t="n">
        <v>45979</v>
      </c>
      <c r="B544" s="5" t="s">
        <v>2854</v>
      </c>
      <c r="C544" s="5" t="s">
        <v>1324</v>
      </c>
      <c r="D544" s="5" t="s">
        <v>1325</v>
      </c>
      <c r="E544" s="5" t="s">
        <v>1408</v>
      </c>
      <c r="F544" s="5" t="s">
        <v>1351</v>
      </c>
      <c r="G544" s="5" t="s">
        <v>2779</v>
      </c>
      <c r="H544" s="5" t="s">
        <v>2855</v>
      </c>
    </row>
    <row r="545" customFormat="false" ht="15" hidden="false" customHeight="false" outlineLevel="0" collapsed="false">
      <c r="A545" s="5" t="s">
        <v>2856</v>
      </c>
      <c r="B545" s="5" t="s">
        <v>2857</v>
      </c>
      <c r="C545" s="5" t="s">
        <v>1371</v>
      </c>
      <c r="D545" s="5" t="s">
        <v>1372</v>
      </c>
      <c r="E545" s="5" t="s">
        <v>1408</v>
      </c>
      <c r="F545" s="5" t="s">
        <v>1409</v>
      </c>
      <c r="G545" s="5" t="s">
        <v>2766</v>
      </c>
      <c r="H545" s="5" t="s">
        <v>2858</v>
      </c>
    </row>
    <row r="546" customFormat="false" ht="15" hidden="false" customHeight="false" outlineLevel="0" collapsed="false">
      <c r="A546" s="5" t="s">
        <v>2859</v>
      </c>
      <c r="B546" s="5" t="s">
        <v>2860</v>
      </c>
      <c r="C546" s="5" t="n">
        <v>6006</v>
      </c>
      <c r="D546" s="5" t="s">
        <v>1357</v>
      </c>
      <c r="E546" s="5" t="s">
        <v>1334</v>
      </c>
      <c r="F546" s="5" t="s">
        <v>1335</v>
      </c>
      <c r="G546" s="5" t="s">
        <v>2802</v>
      </c>
      <c r="H546" s="5" t="s">
        <v>2861</v>
      </c>
    </row>
    <row r="547" customFormat="false" ht="15" hidden="false" customHeight="false" outlineLevel="0" collapsed="false">
      <c r="A547" s="5" t="s">
        <v>2862</v>
      </c>
      <c r="B547" s="5" t="s">
        <v>2863</v>
      </c>
      <c r="C547" s="5" t="s">
        <v>1383</v>
      </c>
      <c r="D547" s="5" t="s">
        <v>1384</v>
      </c>
      <c r="E547" s="5" t="s">
        <v>1346</v>
      </c>
      <c r="F547" s="5" t="s">
        <v>1327</v>
      </c>
      <c r="G547" s="5" t="s">
        <v>2814</v>
      </c>
      <c r="H547" s="5" t="s">
        <v>2864</v>
      </c>
    </row>
    <row r="548" customFormat="false" ht="15" hidden="false" customHeight="false" outlineLevel="0" collapsed="false">
      <c r="A548" s="5" t="s">
        <v>2865</v>
      </c>
      <c r="B548" s="5" t="s">
        <v>2866</v>
      </c>
      <c r="C548" s="5" t="s">
        <v>1453</v>
      </c>
      <c r="D548" s="5" t="s">
        <v>1360</v>
      </c>
      <c r="E548" s="5" t="s">
        <v>1346</v>
      </c>
      <c r="F548" s="5" t="s">
        <v>1327</v>
      </c>
      <c r="G548" s="5" t="s">
        <v>2814</v>
      </c>
      <c r="H548" s="5" t="s">
        <v>2867</v>
      </c>
    </row>
    <row r="549" customFormat="false" ht="15" hidden="false" customHeight="false" outlineLevel="0" collapsed="false">
      <c r="A549" s="37" t="n">
        <v>45982</v>
      </c>
      <c r="B549" s="5" t="s">
        <v>2868</v>
      </c>
      <c r="C549" s="5" t="s">
        <v>1356</v>
      </c>
      <c r="D549" s="5" t="s">
        <v>1559</v>
      </c>
      <c r="E549" s="5" t="s">
        <v>1416</v>
      </c>
      <c r="F549" s="5" t="s">
        <v>1374</v>
      </c>
      <c r="G549" s="5" t="s">
        <v>2818</v>
      </c>
      <c r="H549" s="5" t="n">
        <v>1253.36</v>
      </c>
    </row>
    <row r="550" customFormat="false" ht="15" hidden="false" customHeight="false" outlineLevel="0" collapsed="false">
      <c r="A550" s="5" t="s">
        <v>2869</v>
      </c>
      <c r="B550" s="5" t="s">
        <v>2870</v>
      </c>
      <c r="C550" s="5" t="s">
        <v>1406</v>
      </c>
      <c r="D550" s="5" t="s">
        <v>1407</v>
      </c>
      <c r="E550" s="5" t="s">
        <v>1373</v>
      </c>
      <c r="F550" s="5" t="s">
        <v>1374</v>
      </c>
      <c r="G550" s="5" t="s">
        <v>2818</v>
      </c>
      <c r="H550" s="5" t="s">
        <v>2871</v>
      </c>
    </row>
    <row r="551" customFormat="false" ht="15" hidden="false" customHeight="false" outlineLevel="0" collapsed="false">
      <c r="A551" s="5" t="s">
        <v>2872</v>
      </c>
      <c r="B551" s="5" t="s">
        <v>2873</v>
      </c>
      <c r="C551" s="5" t="s">
        <v>1371</v>
      </c>
      <c r="D551" s="5" t="s">
        <v>1372</v>
      </c>
      <c r="E551" s="5" t="s">
        <v>1496</v>
      </c>
      <c r="F551" s="5" t="s">
        <v>1351</v>
      </c>
      <c r="G551" s="5" t="s">
        <v>2779</v>
      </c>
      <c r="H551" s="5" t="s">
        <v>2874</v>
      </c>
    </row>
    <row r="552" customFormat="false" ht="15" hidden="false" customHeight="false" outlineLevel="0" collapsed="false">
      <c r="A552" s="5" t="s">
        <v>2875</v>
      </c>
      <c r="B552" s="5" t="s">
        <v>2876</v>
      </c>
      <c r="C552" s="5" t="s">
        <v>1383</v>
      </c>
      <c r="D552" s="5" t="s">
        <v>1965</v>
      </c>
      <c r="E552" s="5" t="s">
        <v>1388</v>
      </c>
      <c r="F552" s="5" t="s">
        <v>1401</v>
      </c>
      <c r="G552" s="5" t="s">
        <v>2805</v>
      </c>
      <c r="H552" s="5" t="s">
        <v>2877</v>
      </c>
    </row>
    <row r="553" customFormat="false" ht="15" hidden="false" customHeight="false" outlineLevel="0" collapsed="false">
      <c r="A553" s="5" t="s">
        <v>2878</v>
      </c>
      <c r="B553" s="5" t="s">
        <v>2879</v>
      </c>
      <c r="C553" s="5" t="n">
        <v>6006</v>
      </c>
      <c r="D553" s="5" t="s">
        <v>1357</v>
      </c>
      <c r="E553" s="5" t="s">
        <v>1350</v>
      </c>
      <c r="F553" s="5" t="s">
        <v>1351</v>
      </c>
      <c r="G553" s="5" t="s">
        <v>2779</v>
      </c>
      <c r="H553" s="5" t="s">
        <v>2880</v>
      </c>
    </row>
    <row r="554" customFormat="false" ht="15" hidden="false" customHeight="false" outlineLevel="0" collapsed="false">
      <c r="A554" s="37" t="n">
        <v>45987</v>
      </c>
      <c r="B554" s="5" t="s">
        <v>2881</v>
      </c>
      <c r="C554" s="5" t="s">
        <v>1386</v>
      </c>
      <c r="D554" s="5" t="s">
        <v>1387</v>
      </c>
      <c r="E554" s="5" t="s">
        <v>1350</v>
      </c>
      <c r="F554" s="5" t="s">
        <v>1409</v>
      </c>
      <c r="G554" s="5" t="s">
        <v>2766</v>
      </c>
      <c r="H554" s="5" t="s">
        <v>2882</v>
      </c>
    </row>
    <row r="555" customFormat="false" ht="15" hidden="false" customHeight="false" outlineLevel="0" collapsed="false">
      <c r="A555" s="5" t="s">
        <v>2883</v>
      </c>
      <c r="B555" s="5" t="s">
        <v>2884</v>
      </c>
      <c r="C555" s="5" t="s">
        <v>1339</v>
      </c>
      <c r="D555" s="5" t="s">
        <v>1340</v>
      </c>
      <c r="E555" s="5" t="s">
        <v>1334</v>
      </c>
      <c r="F555" s="5" t="s">
        <v>1374</v>
      </c>
      <c r="G555" s="5" t="s">
        <v>2818</v>
      </c>
      <c r="H555" s="5" t="n">
        <v>1524.76</v>
      </c>
    </row>
    <row r="556" customFormat="false" ht="15" hidden="false" customHeight="false" outlineLevel="0" collapsed="false">
      <c r="A556" s="5" t="s">
        <v>2885</v>
      </c>
      <c r="B556" s="5" t="s">
        <v>2886</v>
      </c>
      <c r="C556" s="5" t="s">
        <v>1386</v>
      </c>
      <c r="D556" s="5" t="s">
        <v>1387</v>
      </c>
      <c r="E556" s="5" t="s">
        <v>1346</v>
      </c>
      <c r="F556" s="5" t="s">
        <v>1341</v>
      </c>
      <c r="G556" s="5" t="s">
        <v>2771</v>
      </c>
      <c r="H556" s="5" t="s">
        <v>2887</v>
      </c>
    </row>
    <row r="557" customFormat="false" ht="1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</row>
    <row r="558" customFormat="false" ht="15" hidden="false" customHeight="false" outlineLevel="0" collapsed="false">
      <c r="A558" s="5" t="s">
        <v>2888</v>
      </c>
      <c r="B558" s="5" t="s">
        <v>2889</v>
      </c>
      <c r="C558" s="5" t="s">
        <v>1383</v>
      </c>
      <c r="D558" s="5" t="s">
        <v>1384</v>
      </c>
      <c r="E558" s="5" t="s">
        <v>1346</v>
      </c>
      <c r="F558" s="5" t="s">
        <v>1327</v>
      </c>
      <c r="G558" s="5" t="s">
        <v>2814</v>
      </c>
      <c r="H558" s="5" t="s">
        <v>2890</v>
      </c>
    </row>
    <row r="559" customFormat="false" ht="15" hidden="false" customHeight="false" outlineLevel="0" collapsed="false">
      <c r="A559" s="5" t="s">
        <v>2891</v>
      </c>
      <c r="B559" s="5" t="s">
        <v>2892</v>
      </c>
      <c r="C559" s="5" t="s">
        <v>1386</v>
      </c>
      <c r="D559" s="5" t="s">
        <v>1387</v>
      </c>
      <c r="E559" s="5" t="s">
        <v>1408</v>
      </c>
      <c r="F559" s="5" t="s">
        <v>1351</v>
      </c>
      <c r="G559" s="5" t="s">
        <v>2893</v>
      </c>
      <c r="H559" s="5" t="s">
        <v>2894</v>
      </c>
    </row>
    <row r="560" customFormat="false" ht="15" hidden="false" customHeight="false" outlineLevel="0" collapsed="false">
      <c r="A560" s="37" t="n">
        <v>45993</v>
      </c>
      <c r="B560" s="5" t="s">
        <v>2895</v>
      </c>
      <c r="C560" s="5" t="s">
        <v>1332</v>
      </c>
      <c r="D560" s="5" t="s">
        <v>1333</v>
      </c>
      <c r="E560" s="5" t="s">
        <v>1334</v>
      </c>
      <c r="F560" s="5" t="s">
        <v>1374</v>
      </c>
      <c r="G560" s="5" t="s">
        <v>2896</v>
      </c>
      <c r="H560" s="5" t="s">
        <v>2897</v>
      </c>
    </row>
    <row r="561" customFormat="false" ht="15" hidden="false" customHeight="false" outlineLevel="0" collapsed="false">
      <c r="A561" s="5" t="s">
        <v>2898</v>
      </c>
      <c r="B561" s="5" t="s">
        <v>2899</v>
      </c>
      <c r="C561" s="5" t="n">
        <v>2020</v>
      </c>
      <c r="D561" s="5" t="s">
        <v>1617</v>
      </c>
      <c r="E561" s="5" t="s">
        <v>1438</v>
      </c>
      <c r="F561" s="5" t="s">
        <v>1389</v>
      </c>
      <c r="G561" s="5" t="s">
        <v>2900</v>
      </c>
      <c r="H561" s="5" t="s">
        <v>2901</v>
      </c>
    </row>
    <row r="562" customFormat="false" ht="15" hidden="false" customHeight="false" outlineLevel="0" collapsed="false">
      <c r="A562" s="5" t="s">
        <v>1309</v>
      </c>
      <c r="B562" s="5" t="s">
        <v>1310</v>
      </c>
      <c r="C562" s="5" t="s">
        <v>1311</v>
      </c>
      <c r="D562" s="5" t="s">
        <v>1312</v>
      </c>
      <c r="E562" s="5" t="s">
        <v>1313</v>
      </c>
      <c r="F562" s="5" t="s">
        <v>1314</v>
      </c>
      <c r="G562" s="5" t="s">
        <v>1315</v>
      </c>
      <c r="H562" s="5" t="s">
        <v>90</v>
      </c>
    </row>
    <row r="563" customFormat="false" ht="15" hidden="false" customHeight="false" outlineLevel="0" collapsed="false">
      <c r="A563" s="5" t="s">
        <v>2902</v>
      </c>
      <c r="B563" s="5" t="s">
        <v>2903</v>
      </c>
      <c r="C563" s="5" t="s">
        <v>1383</v>
      </c>
      <c r="D563" s="5" t="s">
        <v>1965</v>
      </c>
      <c r="E563" s="5" t="s">
        <v>1450</v>
      </c>
      <c r="F563" s="5" t="s">
        <v>1401</v>
      </c>
      <c r="G563" s="5" t="s">
        <v>2904</v>
      </c>
      <c r="H563" s="5" t="n">
        <v>130.65</v>
      </c>
    </row>
    <row r="564" customFormat="false" ht="15" hidden="false" customHeight="false" outlineLevel="0" collapsed="false">
      <c r="A564" s="5" t="s">
        <v>2905</v>
      </c>
      <c r="B564" s="5" t="s">
        <v>2906</v>
      </c>
      <c r="C564" s="5" t="s">
        <v>1332</v>
      </c>
      <c r="D564" s="5" t="s">
        <v>1333</v>
      </c>
      <c r="E564" s="5" t="s">
        <v>1438</v>
      </c>
      <c r="F564" s="5" t="s">
        <v>1389</v>
      </c>
      <c r="G564" s="5" t="s">
        <v>2900</v>
      </c>
      <c r="H564" s="5" t="s">
        <v>2907</v>
      </c>
    </row>
    <row r="565" customFormat="false" ht="15" hidden="false" customHeight="false" outlineLevel="0" collapsed="false">
      <c r="A565" s="5" t="s">
        <v>2908</v>
      </c>
      <c r="B565" s="5" t="s">
        <v>2909</v>
      </c>
      <c r="C565" s="5" t="s">
        <v>1332</v>
      </c>
      <c r="D565" s="5" t="s">
        <v>1333</v>
      </c>
      <c r="E565" s="5" t="s">
        <v>1373</v>
      </c>
      <c r="F565" s="5" t="s">
        <v>1335</v>
      </c>
      <c r="G565" s="5" t="s">
        <v>2910</v>
      </c>
      <c r="H565" s="5" t="s">
        <v>2911</v>
      </c>
    </row>
    <row r="566" customFormat="false" ht="15" hidden="false" customHeight="false" outlineLevel="0" collapsed="false">
      <c r="A566" s="37" t="n">
        <v>45998</v>
      </c>
      <c r="B566" s="5" t="s">
        <v>2912</v>
      </c>
      <c r="C566" s="5" t="s">
        <v>1371</v>
      </c>
      <c r="D566" s="5" t="s">
        <v>1372</v>
      </c>
      <c r="E566" s="5" t="s">
        <v>1334</v>
      </c>
      <c r="F566" s="5" t="s">
        <v>1374</v>
      </c>
      <c r="G566" s="5" t="s">
        <v>2896</v>
      </c>
      <c r="H566" s="5" t="s">
        <v>2913</v>
      </c>
    </row>
    <row r="567" customFormat="false" ht="15" hidden="false" customHeight="false" outlineLevel="0" collapsed="false">
      <c r="A567" s="5" t="s">
        <v>2914</v>
      </c>
      <c r="B567" s="5" t="s">
        <v>2915</v>
      </c>
      <c r="C567" s="5" t="s">
        <v>1406</v>
      </c>
      <c r="D567" s="5" t="s">
        <v>1407</v>
      </c>
      <c r="E567" s="5" t="s">
        <v>1416</v>
      </c>
      <c r="F567" s="5" t="s">
        <v>1374</v>
      </c>
      <c r="G567" s="5" t="s">
        <v>2896</v>
      </c>
      <c r="H567" s="5" t="s">
        <v>2916</v>
      </c>
    </row>
    <row r="568" customFormat="false" ht="15" hidden="false" customHeight="false" outlineLevel="0" collapsed="false">
      <c r="A568" s="5" t="s">
        <v>2917</v>
      </c>
      <c r="B568" s="5" t="s">
        <v>2918</v>
      </c>
      <c r="C568" s="5" t="s">
        <v>1324</v>
      </c>
      <c r="D568" s="5" t="s">
        <v>1325</v>
      </c>
      <c r="E568" s="5" t="s">
        <v>1350</v>
      </c>
      <c r="F568" s="5" t="s">
        <v>1409</v>
      </c>
      <c r="G568" s="5" t="s">
        <v>2919</v>
      </c>
      <c r="H568" s="5" t="s">
        <v>2920</v>
      </c>
    </row>
    <row r="569" customFormat="false" ht="15" hidden="false" customHeight="false" outlineLevel="0" collapsed="false">
      <c r="A569" s="5" t="s">
        <v>2921</v>
      </c>
      <c r="B569" s="5" t="s">
        <v>2922</v>
      </c>
      <c r="C569" s="5" t="n">
        <v>456</v>
      </c>
      <c r="D569" s="5" t="s">
        <v>1333</v>
      </c>
      <c r="E569" s="5" t="s">
        <v>1388</v>
      </c>
      <c r="F569" s="5" t="s">
        <v>1389</v>
      </c>
      <c r="G569" s="5" t="s">
        <v>2900</v>
      </c>
      <c r="H569" s="5" t="n">
        <v>1253.95</v>
      </c>
    </row>
    <row r="570" customFormat="false" ht="15" hidden="false" customHeight="false" outlineLevel="0" collapsed="false">
      <c r="A570" s="5" t="s">
        <v>2923</v>
      </c>
      <c r="B570" s="5" t="s">
        <v>2924</v>
      </c>
      <c r="C570" s="5" t="s">
        <v>1356</v>
      </c>
      <c r="D570" s="5" t="s">
        <v>1357</v>
      </c>
      <c r="E570" s="5" t="s">
        <v>1319</v>
      </c>
      <c r="F570" s="5" t="s">
        <v>1431</v>
      </c>
      <c r="G570" s="5" t="s">
        <v>2925</v>
      </c>
      <c r="H570" s="5" t="s">
        <v>2926</v>
      </c>
    </row>
    <row r="571" customFormat="false" ht="15" hidden="false" customHeight="false" outlineLevel="0" collapsed="false">
      <c r="A571" s="37" t="n">
        <v>46001</v>
      </c>
      <c r="B571" s="5" t="s">
        <v>2927</v>
      </c>
      <c r="C571" s="5" t="s">
        <v>1386</v>
      </c>
      <c r="D571" s="5" t="s">
        <v>1387</v>
      </c>
      <c r="E571" s="5" t="s">
        <v>1468</v>
      </c>
      <c r="F571" s="5" t="s">
        <v>1335</v>
      </c>
      <c r="G571" s="5" t="s">
        <v>2910</v>
      </c>
      <c r="H571" s="5" t="s">
        <v>2928</v>
      </c>
    </row>
    <row r="572" customFormat="false" ht="15" hidden="false" customHeight="false" outlineLevel="0" collapsed="false">
      <c r="A572" s="5" t="s">
        <v>2929</v>
      </c>
      <c r="B572" s="5" t="s">
        <v>2930</v>
      </c>
      <c r="C572" s="5" t="s">
        <v>1406</v>
      </c>
      <c r="D572" s="5" t="s">
        <v>1732</v>
      </c>
      <c r="E572" s="5" t="s">
        <v>1373</v>
      </c>
      <c r="F572" s="5" t="s">
        <v>1335</v>
      </c>
      <c r="G572" s="5" t="s">
        <v>2910</v>
      </c>
      <c r="H572" s="5" t="s">
        <v>2931</v>
      </c>
    </row>
    <row r="573" customFormat="false" ht="15" hidden="false" customHeight="false" outlineLevel="0" collapsed="false">
      <c r="A573" s="5" t="s">
        <v>2932</v>
      </c>
      <c r="B573" s="5" t="s">
        <v>2933</v>
      </c>
      <c r="C573" s="5" t="s">
        <v>1386</v>
      </c>
      <c r="D573" s="5" t="s">
        <v>1617</v>
      </c>
      <c r="E573" s="5" t="s">
        <v>1438</v>
      </c>
      <c r="F573" s="5" t="s">
        <v>1401</v>
      </c>
      <c r="G573" s="5" t="s">
        <v>2904</v>
      </c>
      <c r="H573" s="5" t="s">
        <v>2934</v>
      </c>
    </row>
    <row r="574" customFormat="false" ht="15" hidden="false" customHeight="false" outlineLevel="0" collapsed="false">
      <c r="A574" s="5" t="s">
        <v>2935</v>
      </c>
      <c r="B574" s="5" t="s">
        <v>2936</v>
      </c>
      <c r="C574" s="5" t="s">
        <v>1324</v>
      </c>
      <c r="D574" s="5" t="s">
        <v>1325</v>
      </c>
      <c r="E574" s="5" t="s">
        <v>1346</v>
      </c>
      <c r="F574" s="5" t="s">
        <v>1341</v>
      </c>
      <c r="G574" s="5" t="s">
        <v>2937</v>
      </c>
      <c r="H574" s="5" t="s">
        <v>2938</v>
      </c>
    </row>
    <row r="575" customFormat="false" ht="15" hidden="false" customHeight="false" outlineLevel="0" collapsed="false">
      <c r="A575" s="5" t="s">
        <v>2939</v>
      </c>
      <c r="B575" s="5" t="s">
        <v>2940</v>
      </c>
      <c r="C575" s="5" t="s">
        <v>1332</v>
      </c>
      <c r="D575" s="5" t="s">
        <v>1333</v>
      </c>
      <c r="E575" s="5" t="s">
        <v>1416</v>
      </c>
      <c r="F575" s="5" t="s">
        <v>1335</v>
      </c>
      <c r="G575" s="5" t="s">
        <v>2910</v>
      </c>
      <c r="H575" s="5" t="n">
        <v>5940.75</v>
      </c>
    </row>
    <row r="576" customFormat="false" ht="15" hidden="false" customHeight="false" outlineLevel="0" collapsed="false">
      <c r="A576" s="37" t="n">
        <v>46005</v>
      </c>
      <c r="B576" s="5" t="s">
        <v>2941</v>
      </c>
      <c r="C576" s="5" t="n">
        <v>123</v>
      </c>
      <c r="D576" s="5" t="s">
        <v>1360</v>
      </c>
      <c r="E576" s="5" t="s">
        <v>1424</v>
      </c>
      <c r="F576" s="5" t="s">
        <v>1320</v>
      </c>
      <c r="G576" s="5" t="s">
        <v>2942</v>
      </c>
      <c r="H576" s="5" t="s">
        <v>2943</v>
      </c>
    </row>
    <row r="577" customFormat="false" ht="15" hidden="false" customHeight="false" outlineLevel="0" collapsed="false">
      <c r="A577" s="5" t="s">
        <v>2944</v>
      </c>
      <c r="B577" s="5" t="s">
        <v>2945</v>
      </c>
      <c r="C577" s="5" t="s">
        <v>1356</v>
      </c>
      <c r="D577" s="5" t="s">
        <v>1357</v>
      </c>
      <c r="E577" s="5" t="s">
        <v>1468</v>
      </c>
      <c r="F577" s="5" t="s">
        <v>1374</v>
      </c>
      <c r="G577" s="5" t="s">
        <v>2896</v>
      </c>
      <c r="H577" s="5" t="s">
        <v>2946</v>
      </c>
    </row>
    <row r="578" customFormat="false" ht="15" hidden="false" customHeight="false" outlineLevel="0" collapsed="false">
      <c r="A578" s="5" t="s">
        <v>2947</v>
      </c>
      <c r="B578" s="5" t="s">
        <v>2948</v>
      </c>
      <c r="C578" s="5" t="s">
        <v>1406</v>
      </c>
      <c r="D578" s="5" t="s">
        <v>1407</v>
      </c>
      <c r="E578" s="5" t="s">
        <v>1408</v>
      </c>
      <c r="F578" s="5" t="s">
        <v>1409</v>
      </c>
      <c r="G578" s="5" t="s">
        <v>2919</v>
      </c>
      <c r="H578" s="5" t="s">
        <v>2949</v>
      </c>
    </row>
    <row r="579" customFormat="false" ht="15" hidden="false" customHeight="false" outlineLevel="0" collapsed="false">
      <c r="A579" s="5" t="s">
        <v>2950</v>
      </c>
      <c r="B579" s="5" t="s">
        <v>2951</v>
      </c>
      <c r="C579" s="5" t="s">
        <v>1371</v>
      </c>
      <c r="D579" s="5" t="s">
        <v>1372</v>
      </c>
      <c r="E579" s="5" t="s">
        <v>1363</v>
      </c>
      <c r="F579" s="5" t="s">
        <v>1341</v>
      </c>
      <c r="G579" s="5" t="s">
        <v>2937</v>
      </c>
      <c r="H579" s="5" t="s">
        <v>2952</v>
      </c>
    </row>
    <row r="580" customFormat="false" ht="15" hidden="false" customHeight="false" outlineLevel="0" collapsed="false">
      <c r="A580" s="5" t="s">
        <v>2953</v>
      </c>
      <c r="B580" s="5" t="s">
        <v>2954</v>
      </c>
      <c r="C580" s="5" t="s">
        <v>1339</v>
      </c>
      <c r="D580" s="5" t="s">
        <v>1340</v>
      </c>
      <c r="E580" s="5" t="s">
        <v>1373</v>
      </c>
      <c r="F580" s="5" t="s">
        <v>1335</v>
      </c>
      <c r="G580" s="5" t="s">
        <v>2910</v>
      </c>
      <c r="H580" s="5" t="s">
        <v>2955</v>
      </c>
    </row>
    <row r="581" customFormat="false" ht="15" hidden="false" customHeight="false" outlineLevel="0" collapsed="false">
      <c r="A581" s="37" t="n">
        <v>46007</v>
      </c>
      <c r="B581" s="5" t="s">
        <v>2956</v>
      </c>
      <c r="C581" s="5" t="s">
        <v>1339</v>
      </c>
      <c r="D581" s="5" t="s">
        <v>1547</v>
      </c>
      <c r="E581" s="5" t="s">
        <v>1363</v>
      </c>
      <c r="F581" s="5" t="s">
        <v>1341</v>
      </c>
      <c r="G581" s="5" t="s">
        <v>2937</v>
      </c>
      <c r="H581" s="5" t="n">
        <v>657.96</v>
      </c>
    </row>
    <row r="582" customFormat="false" ht="15" hidden="false" customHeight="false" outlineLevel="0" collapsed="false">
      <c r="A582" s="5" t="s">
        <v>2957</v>
      </c>
      <c r="B582" s="5" t="s">
        <v>2958</v>
      </c>
      <c r="C582" s="5" t="s">
        <v>1406</v>
      </c>
      <c r="D582" s="5" t="s">
        <v>1407</v>
      </c>
      <c r="E582" s="5" t="s">
        <v>1334</v>
      </c>
      <c r="F582" s="5" t="s">
        <v>1335</v>
      </c>
      <c r="G582" s="5" t="s">
        <v>2910</v>
      </c>
      <c r="H582" s="5" t="s">
        <v>2959</v>
      </c>
    </row>
    <row r="583" customFormat="false" ht="15" hidden="false" customHeight="false" outlineLevel="0" collapsed="false">
      <c r="A583" s="5" t="s">
        <v>2960</v>
      </c>
      <c r="B583" s="5" t="s">
        <v>2961</v>
      </c>
      <c r="C583" s="5" t="n">
        <v>789</v>
      </c>
      <c r="D583" s="5" t="s">
        <v>1407</v>
      </c>
      <c r="E583" s="5" t="s">
        <v>1326</v>
      </c>
      <c r="F583" s="5" t="s">
        <v>1341</v>
      </c>
      <c r="G583" s="5" t="s">
        <v>2937</v>
      </c>
      <c r="H583" s="5" t="s">
        <v>2962</v>
      </c>
    </row>
    <row r="584" customFormat="false" ht="15" hidden="false" customHeight="false" outlineLevel="0" collapsed="false">
      <c r="A584" s="5" t="s">
        <v>2963</v>
      </c>
      <c r="B584" s="5" t="s">
        <v>2964</v>
      </c>
      <c r="C584" s="5" t="s">
        <v>1383</v>
      </c>
      <c r="D584" s="5" t="s">
        <v>1423</v>
      </c>
      <c r="E584" s="5" t="s">
        <v>1438</v>
      </c>
      <c r="F584" s="5" t="s">
        <v>1401</v>
      </c>
      <c r="G584" s="5" t="s">
        <v>2904</v>
      </c>
      <c r="H584" s="5" t="s">
        <v>2965</v>
      </c>
    </row>
    <row r="585" customFormat="false" ht="15" hidden="false" customHeight="false" outlineLevel="0" collapsed="false">
      <c r="A585" s="5" t="s">
        <v>2966</v>
      </c>
      <c r="B585" s="5" t="s">
        <v>2967</v>
      </c>
      <c r="C585" s="5" t="s">
        <v>1324</v>
      </c>
      <c r="D585" s="5" t="s">
        <v>1325</v>
      </c>
      <c r="E585" s="5" t="s">
        <v>1363</v>
      </c>
      <c r="F585" s="5" t="s">
        <v>1341</v>
      </c>
      <c r="G585" s="5" t="s">
        <v>2937</v>
      </c>
      <c r="H585" s="5" t="s">
        <v>2968</v>
      </c>
    </row>
    <row r="586" customFormat="false" ht="15" hidden="false" customHeight="false" outlineLevel="0" collapsed="false">
      <c r="A586" s="37" t="n">
        <v>46010</v>
      </c>
      <c r="B586" s="5" t="s">
        <v>2969</v>
      </c>
      <c r="C586" s="5" t="s">
        <v>1371</v>
      </c>
      <c r="D586" s="5" t="s">
        <v>1372</v>
      </c>
      <c r="E586" s="5" t="s">
        <v>1388</v>
      </c>
      <c r="F586" s="5" t="s">
        <v>1401</v>
      </c>
      <c r="G586" s="5" t="s">
        <v>2904</v>
      </c>
      <c r="H586" s="5" t="s">
        <v>2970</v>
      </c>
    </row>
    <row r="587" customFormat="false" ht="15" hidden="false" customHeight="false" outlineLevel="0" collapsed="false">
      <c r="A587" s="5" t="s">
        <v>2971</v>
      </c>
      <c r="B587" s="5" t="s">
        <v>2972</v>
      </c>
      <c r="C587" s="5" t="s">
        <v>1324</v>
      </c>
      <c r="D587" s="5" t="s">
        <v>1325</v>
      </c>
      <c r="E587" s="5" t="s">
        <v>1400</v>
      </c>
      <c r="F587" s="5" t="s">
        <v>1389</v>
      </c>
      <c r="G587" s="5" t="s">
        <v>2900</v>
      </c>
      <c r="H587" s="5" t="n">
        <v>1833.05</v>
      </c>
    </row>
    <row r="588" customFormat="false" ht="15" hidden="false" customHeight="false" outlineLevel="0" collapsed="false">
      <c r="A588" s="5" t="s">
        <v>2973</v>
      </c>
      <c r="B588" s="5" t="s">
        <v>2974</v>
      </c>
      <c r="C588" s="5" t="s">
        <v>1324</v>
      </c>
      <c r="D588" s="5" t="s">
        <v>1325</v>
      </c>
      <c r="E588" s="5" t="s">
        <v>1468</v>
      </c>
      <c r="F588" s="5" t="s">
        <v>1335</v>
      </c>
      <c r="G588" s="5" t="s">
        <v>2910</v>
      </c>
      <c r="H588" s="5" t="s">
        <v>2975</v>
      </c>
    </row>
    <row r="589" customFormat="false" ht="15" hidden="false" customHeight="false" outlineLevel="0" collapsed="false">
      <c r="A589" s="5" t="s">
        <v>2976</v>
      </c>
      <c r="B589" s="5" t="s">
        <v>2977</v>
      </c>
      <c r="C589" s="5" t="s">
        <v>1386</v>
      </c>
      <c r="D589" s="5" t="s">
        <v>1387</v>
      </c>
      <c r="E589" s="5" t="s">
        <v>1496</v>
      </c>
      <c r="F589" s="5" t="s">
        <v>1409</v>
      </c>
      <c r="G589" s="5" t="s">
        <v>2919</v>
      </c>
      <c r="H589" s="5" t="s">
        <v>2978</v>
      </c>
    </row>
    <row r="590" customFormat="false" ht="15" hidden="false" customHeight="false" outlineLevel="0" collapsed="false">
      <c r="A590" s="5" t="s">
        <v>2979</v>
      </c>
      <c r="B590" s="5" t="s">
        <v>2980</v>
      </c>
      <c r="C590" s="5" t="n">
        <v>789</v>
      </c>
      <c r="D590" s="5" t="s">
        <v>1732</v>
      </c>
      <c r="E590" s="5" t="s">
        <v>1363</v>
      </c>
      <c r="F590" s="5" t="s">
        <v>1341</v>
      </c>
      <c r="G590" s="5" t="s">
        <v>2937</v>
      </c>
      <c r="H590" s="5" t="s">
        <v>2981</v>
      </c>
    </row>
    <row r="591" customFormat="false" ht="15" hidden="false" customHeight="false" outlineLevel="0" collapsed="false">
      <c r="A591" s="37" t="n">
        <v>46013</v>
      </c>
      <c r="B591" s="5" t="s">
        <v>2982</v>
      </c>
      <c r="C591" s="5" t="s">
        <v>1356</v>
      </c>
      <c r="D591" s="5" t="s">
        <v>1357</v>
      </c>
      <c r="E591" s="5" t="s">
        <v>1373</v>
      </c>
      <c r="F591" s="5" t="s">
        <v>1374</v>
      </c>
      <c r="G591" s="5" t="s">
        <v>2896</v>
      </c>
      <c r="H591" s="5" t="s">
        <v>2983</v>
      </c>
    </row>
    <row r="592" customFormat="false" ht="15" hidden="false" customHeight="false" outlineLevel="0" collapsed="false">
      <c r="A592" s="5" t="s">
        <v>2984</v>
      </c>
      <c r="B592" s="5" t="s">
        <v>2985</v>
      </c>
      <c r="C592" s="5" t="s">
        <v>1383</v>
      </c>
      <c r="D592" s="5" t="s">
        <v>1384</v>
      </c>
      <c r="E592" s="5" t="s">
        <v>1416</v>
      </c>
      <c r="F592" s="5" t="s">
        <v>1374</v>
      </c>
      <c r="G592" s="5" t="s">
        <v>2896</v>
      </c>
      <c r="H592" s="5" t="s">
        <v>2986</v>
      </c>
    </row>
    <row r="593" customFormat="false" ht="15" hidden="false" customHeight="false" outlineLevel="0" collapsed="false">
      <c r="A593" s="5" t="s">
        <v>2987</v>
      </c>
      <c r="B593" s="5" t="s">
        <v>2988</v>
      </c>
      <c r="C593" s="5" t="s">
        <v>1332</v>
      </c>
      <c r="D593" s="5" t="s">
        <v>1333</v>
      </c>
      <c r="E593" s="5" t="s">
        <v>1373</v>
      </c>
      <c r="F593" s="5" t="s">
        <v>1374</v>
      </c>
      <c r="G593" s="5" t="s">
        <v>2896</v>
      </c>
      <c r="H593" s="5" t="n">
        <v>6865.83</v>
      </c>
    </row>
    <row r="594" customFormat="false" ht="15" hidden="false" customHeight="false" outlineLevel="0" collapsed="false">
      <c r="A594" s="5" t="s">
        <v>2989</v>
      </c>
      <c r="B594" s="5" t="s">
        <v>2990</v>
      </c>
      <c r="C594" s="5" t="s">
        <v>1386</v>
      </c>
      <c r="D594" s="5" t="s">
        <v>1387</v>
      </c>
      <c r="E594" s="5" t="s">
        <v>1319</v>
      </c>
      <c r="F594" s="5" t="s">
        <v>1320</v>
      </c>
      <c r="G594" s="5" t="s">
        <v>2942</v>
      </c>
      <c r="H594" s="5" t="s">
        <v>2991</v>
      </c>
    </row>
    <row r="595" customFormat="false" ht="15" hidden="false" customHeight="false" outlineLevel="0" collapsed="false">
      <c r="A595" s="5" t="s">
        <v>2992</v>
      </c>
      <c r="B595" s="5" t="s">
        <v>2993</v>
      </c>
      <c r="C595" s="5" t="s">
        <v>1356</v>
      </c>
      <c r="D595" s="5" t="s">
        <v>1559</v>
      </c>
      <c r="E595" s="5" t="s">
        <v>1334</v>
      </c>
      <c r="F595" s="5" t="s">
        <v>1374</v>
      </c>
      <c r="G595" s="5" t="s">
        <v>2896</v>
      </c>
      <c r="H595" s="5" t="s">
        <v>2994</v>
      </c>
    </row>
    <row r="596" customFormat="false" ht="15" hidden="false" customHeight="false" outlineLevel="0" collapsed="false">
      <c r="A596" s="37" t="n">
        <v>46017</v>
      </c>
      <c r="B596" s="5" t="s">
        <v>2995</v>
      </c>
      <c r="C596" s="5" t="s">
        <v>1339</v>
      </c>
      <c r="D596" s="5" t="s">
        <v>1340</v>
      </c>
      <c r="E596" s="5" t="s">
        <v>1468</v>
      </c>
      <c r="F596" s="5" t="s">
        <v>1335</v>
      </c>
      <c r="G596" s="5" t="s">
        <v>2910</v>
      </c>
      <c r="H596" s="5" t="s">
        <v>2996</v>
      </c>
    </row>
    <row r="597" customFormat="false" ht="15" hidden="false" customHeight="false" outlineLevel="0" collapsed="false">
      <c r="A597" s="5" t="s">
        <v>2997</v>
      </c>
      <c r="B597" s="5" t="s">
        <v>2998</v>
      </c>
      <c r="C597" s="5" t="n">
        <v>1011</v>
      </c>
      <c r="D597" s="5" t="s">
        <v>1325</v>
      </c>
      <c r="E597" s="5" t="s">
        <v>1319</v>
      </c>
      <c r="F597" s="5" t="s">
        <v>1320</v>
      </c>
      <c r="G597" s="5" t="s">
        <v>2942</v>
      </c>
      <c r="H597" s="5" t="s">
        <v>2999</v>
      </c>
    </row>
    <row r="598" customFormat="false" ht="15" hidden="false" customHeight="false" outlineLevel="0" collapsed="false">
      <c r="A598" s="5" t="s">
        <v>3000</v>
      </c>
      <c r="B598" s="5" t="s">
        <v>3001</v>
      </c>
      <c r="C598" s="5" t="s">
        <v>1383</v>
      </c>
      <c r="D598" s="5" t="s">
        <v>1384</v>
      </c>
      <c r="E598" s="5" t="s">
        <v>1496</v>
      </c>
      <c r="F598" s="5" t="s">
        <v>1351</v>
      </c>
      <c r="G598" s="5" t="s">
        <v>2893</v>
      </c>
      <c r="H598" s="5" t="s">
        <v>3002</v>
      </c>
    </row>
    <row r="599" customFormat="false" ht="15" hidden="false" customHeight="false" outlineLevel="0" collapsed="false">
      <c r="A599" s="5" t="s">
        <v>3003</v>
      </c>
      <c r="B599" s="5" t="s">
        <v>3004</v>
      </c>
      <c r="C599" s="5" t="s">
        <v>1386</v>
      </c>
      <c r="D599" s="5" t="s">
        <v>2015</v>
      </c>
      <c r="E599" s="5" t="s">
        <v>1363</v>
      </c>
      <c r="F599" s="5" t="s">
        <v>1327</v>
      </c>
      <c r="G599" s="5" t="s">
        <v>3005</v>
      </c>
      <c r="H599" s="5" t="n">
        <v>5369.37</v>
      </c>
    </row>
    <row r="600" customFormat="false" ht="15" hidden="false" customHeight="false" outlineLevel="0" collapsed="false">
      <c r="A600" s="5" t="s">
        <v>3006</v>
      </c>
      <c r="B600" s="5"/>
      <c r="C600" s="5"/>
      <c r="D600" s="5"/>
      <c r="E600" s="5"/>
      <c r="F600" s="5"/>
      <c r="G600" s="5"/>
      <c r="H600" s="5" t="s">
        <v>3007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3008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3009</v>
      </c>
    </row>
    <row r="4" customFormat="false" ht="30" hidden="false" customHeight="true" outlineLevel="0" collapsed="false">
      <c r="A4" s="21" t="s">
        <v>3010</v>
      </c>
      <c r="B4" s="21"/>
      <c r="C4" s="21"/>
      <c r="D4" s="21"/>
      <c r="E4" s="21"/>
      <c r="F4" s="21"/>
      <c r="G4" s="21"/>
      <c r="H4" s="21"/>
    </row>
    <row r="5" customFormat="false" ht="30" hidden="false" customHeight="true" outlineLevel="0" collapsed="false">
      <c r="A5" s="21" t="s">
        <v>3011</v>
      </c>
      <c r="B5" s="21"/>
      <c r="C5" s="21"/>
      <c r="D5" s="21"/>
      <c r="E5" s="21"/>
      <c r="F5" s="21"/>
      <c r="G5" s="21"/>
      <c r="H5" s="21"/>
    </row>
    <row r="6" customFormat="false" ht="30" hidden="false" customHeight="true" outlineLevel="0" collapsed="false">
      <c r="A6" s="21" t="s">
        <v>3012</v>
      </c>
      <c r="B6" s="21"/>
      <c r="C6" s="21"/>
      <c r="D6" s="21"/>
      <c r="E6" s="21"/>
      <c r="F6" s="21"/>
      <c r="G6" s="21"/>
      <c r="H6" s="21"/>
    </row>
    <row r="7" customFormat="false" ht="30" hidden="false" customHeight="true" outlineLevel="0" collapsed="false">
      <c r="A7" s="21" t="s">
        <v>3013</v>
      </c>
      <c r="B7" s="21"/>
      <c r="C7" s="21"/>
      <c r="D7" s="21"/>
      <c r="E7" s="21"/>
      <c r="F7" s="21"/>
      <c r="G7" s="21"/>
      <c r="H7" s="21"/>
    </row>
    <row r="8" customFormat="false" ht="30" hidden="false" customHeight="true" outlineLevel="0" collapsed="false">
      <c r="A8" s="21" t="s">
        <v>3014</v>
      </c>
      <c r="B8" s="21"/>
      <c r="C8" s="21"/>
      <c r="D8" s="21"/>
      <c r="E8" s="21"/>
      <c r="F8" s="21"/>
      <c r="G8" s="21"/>
      <c r="H8" s="21"/>
    </row>
    <row r="9" customFormat="false" ht="30" hidden="false" customHeight="true" outlineLevel="0" collapsed="false">
      <c r="A9" s="21" t="s">
        <v>3015</v>
      </c>
      <c r="B9" s="21"/>
      <c r="C9" s="21"/>
      <c r="D9" s="21"/>
      <c r="E9" s="21"/>
      <c r="F9" s="21"/>
      <c r="G9" s="21"/>
      <c r="H9" s="21"/>
    </row>
    <row r="10" customFormat="false" ht="30" hidden="false" customHeight="true" outlineLevel="0" collapsed="false">
      <c r="A10" s="21" t="s">
        <v>3016</v>
      </c>
      <c r="B10" s="21"/>
      <c r="C10" s="21"/>
      <c r="D10" s="21"/>
      <c r="E10" s="21"/>
      <c r="F10" s="21"/>
      <c r="G10" s="21"/>
      <c r="H10" s="21"/>
    </row>
    <row r="11" customFormat="false" ht="30" hidden="false" customHeight="true" outlineLevel="0" collapsed="false">
      <c r="A11" s="21" t="s">
        <v>3017</v>
      </c>
      <c r="B11" s="21"/>
      <c r="C11" s="21"/>
      <c r="D11" s="21"/>
      <c r="E11" s="21"/>
      <c r="F11" s="21"/>
      <c r="G11" s="21"/>
      <c r="H11" s="21"/>
    </row>
    <row r="12" customFormat="false" ht="30" hidden="false" customHeight="true" outlineLevel="0" collapsed="false">
      <c r="A12" s="21" t="s">
        <v>3018</v>
      </c>
      <c r="B12" s="21"/>
      <c r="C12" s="21"/>
      <c r="D12" s="21"/>
      <c r="E12" s="21"/>
      <c r="F12" s="21"/>
      <c r="G12" s="21"/>
      <c r="H12" s="21"/>
    </row>
    <row r="13" customFormat="false" ht="30" hidden="false" customHeight="true" outlineLevel="0" collapsed="false">
      <c r="A13" s="21" t="s">
        <v>3019</v>
      </c>
      <c r="B13" s="21"/>
      <c r="C13" s="21"/>
      <c r="D13" s="21"/>
      <c r="E13" s="21"/>
      <c r="F13" s="21"/>
      <c r="G13" s="21"/>
      <c r="H13" s="21"/>
    </row>
    <row r="15" customFormat="false" ht="15" hidden="false" customHeight="false" outlineLevel="0" collapsed="false">
      <c r="A15" s="4" t="s">
        <v>3020</v>
      </c>
    </row>
    <row r="16" customFormat="false" ht="15" hidden="false" customHeight="false" outlineLevel="0" collapsed="false">
      <c r="A16" s="14" t="s">
        <v>1269</v>
      </c>
      <c r="B16" s="14" t="s">
        <v>1297</v>
      </c>
      <c r="C16" s="14" t="s">
        <v>1287</v>
      </c>
      <c r="D16" s="14" t="s">
        <v>1272</v>
      </c>
    </row>
    <row r="17" customFormat="false" ht="15" hidden="false" customHeight="false" outlineLevel="0" collapsed="false">
      <c r="A17" s="5" t="s">
        <v>3021</v>
      </c>
      <c r="B17" s="29" t="n">
        <f aca="true">IFERROR(COUNTA(INDIRECT("Clean!B2:B5000")),0)</f>
        <v>0</v>
      </c>
      <c r="C17" s="38" t="n">
        <v>571</v>
      </c>
      <c r="D17" s="12" t="str">
        <f aca="false">IF(B17=0,"-",IF(ABS(B17-C17)&lt;0.01,"PASS","Not yet"))</f>
        <v>-</v>
      </c>
    </row>
    <row r="18" customFormat="false" ht="15" hidden="false" customHeight="false" outlineLevel="0" collapsed="false">
      <c r="A18" s="5" t="s">
        <v>3022</v>
      </c>
      <c r="B18" s="28" t="n">
        <f aca="true">IFERROR(SUM(INDIRECT("Clean!H2:H5000")),0)</f>
        <v>0</v>
      </c>
      <c r="C18" s="26" t="n">
        <v>1863767.63</v>
      </c>
      <c r="D18" s="12" t="str">
        <f aca="false">IF(B17=0,"-",IF(ABS(B18-C18)&lt;0.01,"PASS","Not yet"))</f>
        <v>-</v>
      </c>
    </row>
    <row r="19" customFormat="false" ht="15" hidden="false" customHeight="false" outlineLevel="0" collapsed="false">
      <c r="A19" s="5" t="s">
        <v>3023</v>
      </c>
      <c r="B19" s="29" t="n">
        <f aca="true">IFERROR(SUMPRODUCT(--ISTEXT(INDIRECT("Clean!H2:H5000"))),0)</f>
        <v>0</v>
      </c>
      <c r="C19" s="38" t="n">
        <v>0</v>
      </c>
      <c r="D19" s="12" t="str">
        <f aca="false">IF(B17=0,"-",IF(ROUND(B19,0)=C19,"PASS","Not yet"))</f>
        <v>-</v>
      </c>
    </row>
    <row r="20" customFormat="false" ht="15" hidden="false" customHeight="false" outlineLevel="0" collapsed="false">
      <c r="A20" s="5" t="s">
        <v>3024</v>
      </c>
      <c r="B20" s="29" t="n">
        <f aca="true">IFERROR(SUMPRODUCT(--ISTEXT(INDIRECT("Clean!A2:A5000"))),0)</f>
        <v>0</v>
      </c>
      <c r="C20" s="38" t="n">
        <v>0</v>
      </c>
      <c r="D20" s="12" t="str">
        <f aca="false">IF(B17=0,"-",IF(ROUND(B20,0)=C20,"PASS","Not yet"))</f>
        <v>-</v>
      </c>
    </row>
    <row r="21" customFormat="false" ht="15" hidden="false" customHeight="false" outlineLevel="0" collapsed="false">
      <c r="A21" s="5" t="s">
        <v>3025</v>
      </c>
      <c r="B21" s="29" t="n">
        <f aca="true">IFERROR(COUNTIF(INDIRECT("Clean!I2:I5000"),"Check: duplicate Doc No"),0)</f>
        <v>0</v>
      </c>
      <c r="C21" s="38" t="n">
        <v>4</v>
      </c>
      <c r="D21" s="12" t="str">
        <f aca="false">IF(B17=0,"-",IF(ROUND(B21,0)=C21,"PASS","Not yet"))</f>
        <v>-</v>
      </c>
    </row>
    <row r="22" customFormat="false" ht="15" hidden="false" customHeight="false" outlineLevel="0" collapsed="false">
      <c r="A22" s="5" t="s">
        <v>3026</v>
      </c>
      <c r="B22" s="29" t="n">
        <f aca="true">IFERROR(SUMPRODUCT((INDIRECT("Clean!E2:E5000")&lt;&gt;"")/COUNTIF(INDIRECT("Clean!E2:E5000"),INDIRECT("Clean!E2:E5000")&amp;"")),0)</f>
        <v>0</v>
      </c>
      <c r="C22" s="38" t="n">
        <v>5</v>
      </c>
      <c r="D22" s="12" t="str">
        <f aca="false">IF(B17=0,"-",IF(ROUND(B22,0)=C22,"PASS","Not yet"))</f>
        <v>-</v>
      </c>
    </row>
    <row r="23" customFormat="false" ht="15" hidden="false" customHeight="false" outlineLevel="0" collapsed="false">
      <c r="A23" s="5" t="s">
        <v>3027</v>
      </c>
      <c r="B23" s="28" t="n">
        <f aca="true">IFERROR(SUMIFS(INDIRECT("Clean!H2:H5000"),INDIRECT("Clean!E2:E5000"),"Finance"),0)</f>
        <v>0</v>
      </c>
      <c r="C23" s="26" t="n">
        <v>158110.59</v>
      </c>
      <c r="D23" s="12" t="str">
        <f aca="false">IF(B17=0,"-",IF(ABS(B23-C23)&lt;0.01,"PASS","Not yet"))</f>
        <v>-</v>
      </c>
    </row>
    <row r="24" customFormat="false" ht="15" hidden="false" customHeight="false" outlineLevel="0" collapsed="false">
      <c r="A24" s="5" t="s">
        <v>3028</v>
      </c>
      <c r="B24" s="28" t="n">
        <f aca="true">IFERROR(SUMIFS(INDIRECT("Clean!H2:H5000"),INDIRECT("Clean!E2:E5000"),"Sales"),0)</f>
        <v>0</v>
      </c>
      <c r="C24" s="26" t="n">
        <v>740689.7</v>
      </c>
      <c r="D24" s="12" t="str">
        <f aca="false">IF(B17=0,"-",IF(ABS(B24-C24)&lt;0.01,"PASS","Not yet"))</f>
        <v>-</v>
      </c>
    </row>
    <row r="25" customFormat="false" ht="15" hidden="false" customHeight="false" outlineLevel="0" collapsed="false">
      <c r="A25" s="5" t="s">
        <v>3029</v>
      </c>
      <c r="B25" s="28" t="n">
        <f aca="true">IFERROR(SUMIFS(INDIRECT("Clean!H2:H5000"),INDIRECT("Clean!E2:E5000"),"Operations"),0)</f>
        <v>0</v>
      </c>
      <c r="C25" s="26" t="n">
        <v>511324.12</v>
      </c>
      <c r="D25" s="12" t="str">
        <f aca="false">IF(B17=0,"-",IF(ABS(B25-C25)&lt;0.01,"PASS","Not yet"))</f>
        <v>-</v>
      </c>
    </row>
    <row r="26" customFormat="false" ht="15" hidden="false" customHeight="false" outlineLevel="0" collapsed="false">
      <c r="A26" s="5" t="s">
        <v>3030</v>
      </c>
      <c r="B26" s="28" t="n">
        <f aca="true">IFERROR(SUMIFS(INDIRECT("Clean!H2:H5000"),INDIRECT("Clean!E2:E5000"),"IT"),0)</f>
        <v>0</v>
      </c>
      <c r="C26" s="26" t="n">
        <v>344501.12</v>
      </c>
      <c r="D26" s="12" t="str">
        <f aca="false">IF(B17=0,"-",IF(ABS(B26-C26)&lt;0.01,"PASS","Not yet"))</f>
        <v>-</v>
      </c>
    </row>
    <row r="27" customFormat="false" ht="15" hidden="false" customHeight="false" outlineLevel="0" collapsed="false">
      <c r="A27" s="5" t="s">
        <v>3031</v>
      </c>
      <c r="B27" s="28" t="n">
        <f aca="true">IFERROR(SUMIFS(INDIRECT("Clean!H2:H5000"),INDIRECT("Clean!E2:E5000"),"HR"),0)</f>
        <v>0</v>
      </c>
      <c r="C27" s="26" t="n">
        <v>109142.1</v>
      </c>
      <c r="D27" s="12" t="str">
        <f aca="false">IF(B17=0,"-",IF(ABS(B27-C27)&lt;0.01,"PASS","Not yet"))</f>
        <v>-</v>
      </c>
    </row>
    <row r="29" customFormat="false" ht="15" hidden="false" customHeight="false" outlineLevel="0" collapsed="false">
      <c r="A29" s="3" t="s">
        <v>3032</v>
      </c>
    </row>
    <row r="30" customFormat="false" ht="15" hidden="false" customHeight="false" outlineLevel="0" collapsed="false">
      <c r="A30" s="3" t="s">
        <v>3033</v>
      </c>
    </row>
    <row r="31" customFormat="false" ht="15" hidden="false" customHeight="false" outlineLevel="0" collapsed="false">
      <c r="A31" s="3" t="s">
        <v>3034</v>
      </c>
    </row>
  </sheetData>
  <mergeCells count="10"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conditionalFormatting sqref="D17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"Not yet"</formula>
    </cfRule>
  </conditionalFormatting>
  <conditionalFormatting sqref="D18">
    <cfRule type="cellIs" priority="4" operator="equal" aboveAverage="0" equalAverage="0" bottom="0" percent="0" rank="0" text="" dxfId="4">
      <formula>"PASS"</formula>
    </cfRule>
    <cfRule type="cellIs" priority="5" operator="equal" aboveAverage="0" equalAverage="0" bottom="0" percent="0" rank="0" text="" dxfId="5">
      <formula>"Not yet"</formula>
    </cfRule>
  </conditionalFormatting>
  <conditionalFormatting sqref="D19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"Not yet"</formula>
    </cfRule>
  </conditionalFormatting>
  <conditionalFormatting sqref="D20">
    <cfRule type="cellIs" priority="8" operator="equal" aboveAverage="0" equalAverage="0" bottom="0" percent="0" rank="0" text="" dxfId="4">
      <formula>"PASS"</formula>
    </cfRule>
    <cfRule type="cellIs" priority="9" operator="equal" aboveAverage="0" equalAverage="0" bottom="0" percent="0" rank="0" text="" dxfId="5">
      <formula>"Not yet"</formula>
    </cfRule>
  </conditionalFormatting>
  <conditionalFormatting sqref="D21">
    <cfRule type="cellIs" priority="10" operator="equal" aboveAverage="0" equalAverage="0" bottom="0" percent="0" rank="0" text="" dxfId="4">
      <formula>"PASS"</formula>
    </cfRule>
    <cfRule type="cellIs" priority="11" operator="equal" aboveAverage="0" equalAverage="0" bottom="0" percent="0" rank="0" text="" dxfId="5">
      <formula>"Not yet"</formula>
    </cfRule>
  </conditionalFormatting>
  <conditionalFormatting sqref="D22">
    <cfRule type="cellIs" priority="12" operator="equal" aboveAverage="0" equalAverage="0" bottom="0" percent="0" rank="0" text="" dxfId="4">
      <formula>"PASS"</formula>
    </cfRule>
    <cfRule type="cellIs" priority="13" operator="equal" aboveAverage="0" equalAverage="0" bottom="0" percent="0" rank="0" text="" dxfId="5">
      <formula>"Not yet"</formula>
    </cfRule>
  </conditionalFormatting>
  <conditionalFormatting sqref="D23">
    <cfRule type="cellIs" priority="14" operator="equal" aboveAverage="0" equalAverage="0" bottom="0" percent="0" rank="0" text="" dxfId="4">
      <formula>"PASS"</formula>
    </cfRule>
    <cfRule type="cellIs" priority="15" operator="equal" aboveAverage="0" equalAverage="0" bottom="0" percent="0" rank="0" text="" dxfId="5">
      <formula>"Not yet"</formula>
    </cfRule>
  </conditionalFormatting>
  <conditionalFormatting sqref="D24">
    <cfRule type="cellIs" priority="16" operator="equal" aboveAverage="0" equalAverage="0" bottom="0" percent="0" rank="0" text="" dxfId="4">
      <formula>"PASS"</formula>
    </cfRule>
    <cfRule type="cellIs" priority="17" operator="equal" aboveAverage="0" equalAverage="0" bottom="0" percent="0" rank="0" text="" dxfId="5">
      <formula>"Not yet"</formula>
    </cfRule>
  </conditionalFormatting>
  <conditionalFormatting sqref="D25">
    <cfRule type="cellIs" priority="18" operator="equal" aboveAverage="0" equalAverage="0" bottom="0" percent="0" rank="0" text="" dxfId="4">
      <formula>"PASS"</formula>
    </cfRule>
    <cfRule type="cellIs" priority="19" operator="equal" aboveAverage="0" equalAverage="0" bottom="0" percent="0" rank="0" text="" dxfId="5">
      <formula>"Not yet"</formula>
    </cfRule>
  </conditionalFormatting>
  <conditionalFormatting sqref="D26">
    <cfRule type="cellIs" priority="20" operator="equal" aboveAverage="0" equalAverage="0" bottom="0" percent="0" rank="0" text="" dxfId="4">
      <formula>"PASS"</formula>
    </cfRule>
    <cfRule type="cellIs" priority="21" operator="equal" aboveAverage="0" equalAverage="0" bottom="0" percent="0" rank="0" text="" dxfId="5">
      <formula>"Not yet"</formula>
    </cfRule>
  </conditionalFormatting>
  <conditionalFormatting sqref="D27">
    <cfRule type="cellIs" priority="22" operator="equal" aboveAverage="0" equalAverage="0" bottom="0" percent="0" rank="0" text="" dxfId="4">
      <formula>"PASS"</formula>
    </cfRule>
    <cfRule type="cellIs" priority="23" operator="equal" aboveAverage="0" equalAverage="0" bottom="0" percent="0" rank="0" text="" dxfId="5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</cols>
  <sheetData>
    <row r="1" customFormat="false" ht="17.35" hidden="false" customHeight="false" outlineLevel="0" collapsed="false">
      <c r="A1" s="1" t="s">
        <v>3035</v>
      </c>
      <c r="B1" s="2"/>
      <c r="C1" s="2"/>
    </row>
    <row r="2" customFormat="false" ht="15" hidden="false" customHeight="false" outlineLevel="0" collapsed="false">
      <c r="A2" s="3" t="s">
        <v>3036</v>
      </c>
    </row>
    <row r="4" customFormat="false" ht="15" hidden="false" customHeight="false" outlineLevel="0" collapsed="false">
      <c r="A4" s="14" t="s">
        <v>1313</v>
      </c>
      <c r="B4" s="14" t="s">
        <v>3037</v>
      </c>
    </row>
    <row r="5" customFormat="false" ht="15" hidden="false" customHeight="false" outlineLevel="0" collapsed="false">
      <c r="A5" s="17" t="s">
        <v>1438</v>
      </c>
      <c r="B5" s="39" t="n">
        <v>168000</v>
      </c>
    </row>
    <row r="6" customFormat="false" ht="15" hidden="false" customHeight="false" outlineLevel="0" collapsed="false">
      <c r="A6" s="17" t="s">
        <v>1416</v>
      </c>
      <c r="B6" s="39" t="n">
        <v>652000</v>
      </c>
    </row>
    <row r="7" customFormat="false" ht="15" hidden="false" customHeight="false" outlineLevel="0" collapsed="false">
      <c r="A7" s="17" t="s">
        <v>1408</v>
      </c>
      <c r="B7" s="39" t="n">
        <v>522000</v>
      </c>
    </row>
    <row r="8" customFormat="false" ht="15" hidden="false" customHeight="false" outlineLevel="0" collapsed="false">
      <c r="A8" s="17" t="s">
        <v>1363</v>
      </c>
      <c r="B8" s="39" t="n">
        <v>313000</v>
      </c>
    </row>
    <row r="9" customFormat="false" ht="15" hidden="false" customHeight="false" outlineLevel="0" collapsed="false">
      <c r="A9" s="17" t="s">
        <v>1427</v>
      </c>
      <c r="B9" s="39" t="n">
        <v>106000</v>
      </c>
    </row>
    <row r="10" customFormat="false" ht="15" hidden="false" customHeight="false" outlineLevel="0" collapsed="false">
      <c r="A10" s="12" t="s">
        <v>1267</v>
      </c>
      <c r="B10" s="40" t="n">
        <f aca="false">SUM(B5:B9)</f>
        <v>1761000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3038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3039</v>
      </c>
    </row>
    <row r="3" customFormat="false" ht="57.75" hidden="false" customHeight="true" outlineLevel="0" collapsed="false">
      <c r="A3" s="21" t="s">
        <v>3040</v>
      </c>
      <c r="B3" s="21"/>
      <c r="C3" s="21"/>
      <c r="D3" s="21"/>
      <c r="E3" s="21"/>
      <c r="F3" s="21"/>
      <c r="G3" s="21"/>
    </row>
    <row r="6" customFormat="false" ht="23.85" hidden="false" customHeight="false" outlineLevel="0" collapsed="false">
      <c r="A6" s="14" t="s">
        <v>1313</v>
      </c>
      <c r="B6" s="14" t="s">
        <v>39</v>
      </c>
      <c r="C6" s="14" t="s">
        <v>3041</v>
      </c>
      <c r="D6" s="14" t="s">
        <v>3042</v>
      </c>
      <c r="E6" s="14" t="s">
        <v>3043</v>
      </c>
    </row>
    <row r="7" customFormat="false" ht="15" hidden="false" customHeight="false" outlineLevel="0" collapsed="false">
      <c r="A7" s="17" t="s">
        <v>1438</v>
      </c>
      <c r="B7" s="29" t="n">
        <f aca="false">INDEX(Budget!$B$5:$B$9,MATCH($A7,Budget!$A$5:$A$9,0))</f>
        <v>168000</v>
      </c>
      <c r="C7" s="23"/>
      <c r="D7" s="23"/>
      <c r="E7" s="41"/>
    </row>
    <row r="8" customFormat="false" ht="15" hidden="false" customHeight="false" outlineLevel="0" collapsed="false">
      <c r="A8" s="17" t="s">
        <v>1416</v>
      </c>
      <c r="B8" s="29" t="n">
        <f aca="false">INDEX(Budget!$B$5:$B$9,MATCH($A8,Budget!$A$5:$A$9,0))</f>
        <v>652000</v>
      </c>
      <c r="C8" s="23"/>
      <c r="D8" s="23"/>
      <c r="E8" s="41"/>
    </row>
    <row r="9" customFormat="false" ht="15" hidden="false" customHeight="false" outlineLevel="0" collapsed="false">
      <c r="A9" s="17" t="s">
        <v>1408</v>
      </c>
      <c r="B9" s="29" t="n">
        <f aca="false">INDEX(Budget!$B$5:$B$9,MATCH($A9,Budget!$A$5:$A$9,0))</f>
        <v>522000</v>
      </c>
      <c r="C9" s="23"/>
      <c r="D9" s="23"/>
      <c r="E9" s="41"/>
    </row>
    <row r="10" customFormat="false" ht="15" hidden="false" customHeight="false" outlineLevel="0" collapsed="false">
      <c r="A10" s="17" t="s">
        <v>1363</v>
      </c>
      <c r="B10" s="29" t="n">
        <f aca="false">INDEX(Budget!$B$5:$B$9,MATCH($A10,Budget!$A$5:$A$9,0))</f>
        <v>313000</v>
      </c>
      <c r="C10" s="23"/>
      <c r="D10" s="23"/>
      <c r="E10" s="41"/>
    </row>
    <row r="11" customFormat="false" ht="15" hidden="false" customHeight="false" outlineLevel="0" collapsed="false">
      <c r="A11" s="17" t="s">
        <v>1427</v>
      </c>
      <c r="B11" s="29" t="n">
        <f aca="false">INDEX(Budget!$B$5:$B$9,MATCH($A11,Budget!$A$5:$A$9,0))</f>
        <v>106000</v>
      </c>
      <c r="C11" s="23"/>
      <c r="D11" s="23"/>
      <c r="E11" s="41"/>
    </row>
    <row r="12" customFormat="false" ht="15" hidden="false" customHeight="false" outlineLevel="0" collapsed="false">
      <c r="A12" s="12" t="s">
        <v>1267</v>
      </c>
      <c r="B12" s="40" t="n">
        <f aca="false">SUM(B7:B11)</f>
        <v>1761000</v>
      </c>
      <c r="C12" s="42"/>
      <c r="D12" s="42"/>
    </row>
    <row r="14" customFormat="false" ht="15" hidden="false" customHeight="false" outlineLevel="0" collapsed="false">
      <c r="A14" s="14" t="s">
        <v>1269</v>
      </c>
      <c r="B14" s="14" t="s">
        <v>1297</v>
      </c>
      <c r="C14" s="14" t="s">
        <v>1287</v>
      </c>
      <c r="D14" s="14" t="s">
        <v>1272</v>
      </c>
    </row>
    <row r="15" customFormat="false" ht="15" hidden="false" customHeight="false" outlineLevel="0" collapsed="false">
      <c r="A15" s="5" t="s">
        <v>3044</v>
      </c>
      <c r="B15" s="27" t="n">
        <f aca="false">C12</f>
        <v>0</v>
      </c>
      <c r="C15" s="26" t="n">
        <v>1863767.63</v>
      </c>
      <c r="D15" s="12" t="str">
        <f aca="false">IF(ISBLANK(C12),"-",IF(ABS(C12-C15)&lt;0.01,"PASS","Not yet"))</f>
        <v>-</v>
      </c>
    </row>
    <row r="16" customFormat="false" ht="15" hidden="false" customHeight="false" outlineLevel="0" collapsed="false">
      <c r="A16" s="5" t="s">
        <v>3045</v>
      </c>
      <c r="B16" s="31"/>
      <c r="C16" s="26" t="n">
        <v>1863767.63</v>
      </c>
      <c r="D16" s="12" t="str">
        <f aca="false">IF(ISBLANK(B16),"-",IF(ABS(B16-C16)&lt;0.01,"PASS","Not yet"))</f>
        <v>-</v>
      </c>
    </row>
    <row r="17" customFormat="false" ht="15" hidden="false" customHeight="false" outlineLevel="0" collapsed="false">
      <c r="A17" s="5" t="s">
        <v>3046</v>
      </c>
      <c r="B17" s="27" t="n">
        <f aca="false">B16</f>
        <v>0</v>
      </c>
      <c r="C17" s="27" t="n">
        <f aca="false">C12</f>
        <v>0</v>
      </c>
      <c r="D17" s="12" t="str">
        <f aca="false">IF(OR(ISBLANK(B16),ISBLANK(C12)),"-",IF(ABS(B16-C12)&lt;0.01,"PASS","Not yet"))</f>
        <v>-</v>
      </c>
    </row>
    <row r="19" customFormat="false" ht="15" hidden="false" customHeight="false" outlineLevel="0" collapsed="false">
      <c r="A19" s="12" t="s">
        <v>3047</v>
      </c>
      <c r="B19" s="43"/>
      <c r="C19" s="43"/>
      <c r="D19" s="43"/>
      <c r="E19" s="43"/>
      <c r="F19" s="43"/>
      <c r="G19" s="43"/>
    </row>
    <row r="20" customFormat="false" ht="15" hidden="false" customHeight="false" outlineLevel="0" collapsed="false">
      <c r="A20" s="5" t="s">
        <v>3048</v>
      </c>
      <c r="B20" s="43"/>
      <c r="C20" s="43"/>
      <c r="D20" s="43"/>
      <c r="E20" s="43"/>
      <c r="F20" s="43"/>
      <c r="G20" s="43"/>
    </row>
    <row r="22" customFormat="false" ht="15" hidden="false" customHeight="false" outlineLevel="0" collapsed="false">
      <c r="A22" s="3" t="s">
        <v>3049</v>
      </c>
    </row>
  </sheetData>
  <mergeCells count="3">
    <mergeCell ref="A3:G3"/>
    <mergeCell ref="B19:G19"/>
    <mergeCell ref="B20:G20"/>
  </mergeCells>
  <conditionalFormatting sqref="D15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"Not yet"</formula>
    </cfRule>
  </conditionalFormatting>
  <conditionalFormatting sqref="D16">
    <cfRule type="cellIs" priority="4" operator="equal" aboveAverage="0" equalAverage="0" bottom="0" percent="0" rank="0" text="" dxfId="4">
      <formula>"PASS"</formula>
    </cfRule>
    <cfRule type="cellIs" priority="5" operator="equal" aboveAverage="0" equalAverage="0" bottom="0" percent="0" rank="0" text="" dxfId="5">
      <formula>"Not yet"</formula>
    </cfRule>
  </conditionalFormatting>
  <conditionalFormatting sqref="D17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3050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3051</v>
      </c>
    </row>
    <row r="4" customFormat="false" ht="15" hidden="false" customHeight="false" outlineLevel="0" collapsed="false">
      <c r="A4" s="14" t="s">
        <v>3052</v>
      </c>
      <c r="B4" s="14" t="s">
        <v>3053</v>
      </c>
      <c r="C4" s="14" t="s">
        <v>3054</v>
      </c>
      <c r="D4" s="14" t="s">
        <v>3055</v>
      </c>
      <c r="E4" s="14" t="s">
        <v>3056</v>
      </c>
    </row>
    <row r="5" customFormat="false" ht="15" hidden="false" customHeight="false" outlineLevel="0" collapsed="false">
      <c r="A5" s="5" t="s">
        <v>3057</v>
      </c>
      <c r="B5" s="5" t="s">
        <v>3</v>
      </c>
      <c r="C5" s="7" t="s">
        <v>3058</v>
      </c>
      <c r="D5" s="7"/>
      <c r="E5" s="7"/>
    </row>
    <row r="6" customFormat="false" ht="15" hidden="false" customHeight="false" outlineLevel="0" collapsed="false">
      <c r="A6" s="5" t="s">
        <v>3059</v>
      </c>
      <c r="B6" s="5" t="s">
        <v>3060</v>
      </c>
      <c r="C6" s="7" t="s">
        <v>3058</v>
      </c>
      <c r="D6" s="7"/>
      <c r="E6" s="7"/>
    </row>
    <row r="7" customFormat="false" ht="15" hidden="false" customHeight="false" outlineLevel="0" collapsed="false">
      <c r="A7" s="5" t="s">
        <v>3061</v>
      </c>
      <c r="B7" s="5" t="s">
        <v>5</v>
      </c>
      <c r="C7" s="7" t="s">
        <v>3058</v>
      </c>
      <c r="D7" s="7"/>
      <c r="E7" s="7"/>
    </row>
    <row r="8" customFormat="false" ht="15" hidden="false" customHeight="false" outlineLevel="0" collapsed="false">
      <c r="A8" s="5" t="s">
        <v>3062</v>
      </c>
      <c r="B8" s="5" t="s">
        <v>3063</v>
      </c>
      <c r="C8" s="7" t="s">
        <v>3058</v>
      </c>
      <c r="D8" s="7"/>
      <c r="E8" s="7"/>
    </row>
    <row r="9" customFormat="false" ht="15" hidden="false" customHeight="false" outlineLevel="0" collapsed="false">
      <c r="A9" s="5" t="s">
        <v>3064</v>
      </c>
      <c r="B9" s="5" t="s">
        <v>7</v>
      </c>
      <c r="C9" s="7" t="s">
        <v>3058</v>
      </c>
      <c r="D9" s="7"/>
      <c r="E9" s="7"/>
    </row>
    <row r="10" customFormat="false" ht="15" hidden="false" customHeight="false" outlineLevel="0" collapsed="false">
      <c r="A10" s="5" t="s">
        <v>3065</v>
      </c>
      <c r="B10" s="5" t="s">
        <v>7</v>
      </c>
      <c r="C10" s="7" t="s">
        <v>3058</v>
      </c>
      <c r="D10" s="7"/>
      <c r="E10" s="7"/>
    </row>
    <row r="11" customFormat="false" ht="15" hidden="false" customHeight="false" outlineLevel="0" collapsed="false">
      <c r="A11" s="5" t="s">
        <v>3066</v>
      </c>
      <c r="B11" s="5" t="s">
        <v>9</v>
      </c>
      <c r="C11" s="7" t="s">
        <v>3058</v>
      </c>
      <c r="D11" s="7"/>
      <c r="E11" s="7"/>
    </row>
    <row r="12" customFormat="false" ht="15" hidden="false" customHeight="false" outlineLevel="0" collapsed="false">
      <c r="A12" s="5" t="s">
        <v>3067</v>
      </c>
      <c r="B12" s="5" t="s">
        <v>11</v>
      </c>
      <c r="C12" s="7" t="s">
        <v>3058</v>
      </c>
      <c r="D12" s="7"/>
      <c r="E12" s="7"/>
    </row>
    <row r="13" customFormat="false" ht="15" hidden="false" customHeight="false" outlineLevel="0" collapsed="false">
      <c r="A13" s="5" t="s">
        <v>3068</v>
      </c>
      <c r="B13" s="5" t="s">
        <v>13</v>
      </c>
      <c r="C13" s="7" t="s">
        <v>3058</v>
      </c>
      <c r="D13" s="7"/>
      <c r="E13" s="7"/>
    </row>
    <row r="14" customFormat="false" ht="15" hidden="false" customHeight="false" outlineLevel="0" collapsed="false">
      <c r="A14" s="5" t="s">
        <v>3069</v>
      </c>
      <c r="B14" s="5" t="s">
        <v>13</v>
      </c>
      <c r="C14" s="7" t="s">
        <v>3058</v>
      </c>
      <c r="D14" s="7"/>
      <c r="E14" s="7"/>
    </row>
  </sheetData>
  <dataValidations count="1">
    <dataValidation allowBlank="true" errorStyle="stop" operator="between" showDropDown="false" showErrorMessage="false" showInputMessage="false" sqref="C5:C14" type="list">
      <formula1>"Not started,In progress,Passed"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2026-09-29T19:10:44Z</dcterms:created>
  <dc:creator>openpyxl</dc:creator>
  <dc:description/>
  <dc:language>en-US</dc:language>
  <cp:lastModifiedBy/>
  <dcterms:modified xsi:type="dcterms:W3CDTF">2026-09-29T19:10:44Z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